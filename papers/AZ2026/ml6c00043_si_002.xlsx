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zcollaboration-my.sharepoint.com/personal/knzk584_astrazeneca_net/Documents/Documents/Science objectives/Chameleonicity_Efflux_BA/Documents for submission ACS med Chem Letters/revised version/ACS Med Chem Letters submission/"/>
    </mc:Choice>
  </mc:AlternateContent>
  <xr:revisionPtr revIDLastSave="0" documentId="8_{E9841DF1-6DAC-4ACA-8FC0-1A1CF584D25C}" xr6:coauthVersionLast="47" xr6:coauthVersionMax="47" xr10:uidLastSave="{00000000-0000-0000-0000-000000000000}"/>
  <bookViews>
    <workbookView xWindow="1560" yWindow="1560" windowWidth="21600" windowHeight="12645" activeTab="1" xr2:uid="{00000000-000D-0000-FFFF-FFFF00000000}"/>
  </bookViews>
  <sheets>
    <sheet name="Reference compounds" sheetId="2" r:id="rId1"/>
    <sheet name="68 PROTACs" sheetId="1" r:id="rId2"/>
  </sheets>
  <externalReferences>
    <externalReference r:id="rId3"/>
    <externalReference r:id="rId4"/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<sst xmlns="http://schemas.openxmlformats.org/spreadsheetml/2006/main" count="254" uniqueCount="107">
  <si>
    <t>Compound ID</t>
  </si>
  <si>
    <t>Compound Name</t>
  </si>
  <si>
    <t>Structure</t>
  </si>
  <si>
    <t>ChamelogK</t>
  </si>
  <si>
    <t>ChamelogK curve</t>
  </si>
  <si>
    <t>ChamelogK literature</t>
  </si>
  <si>
    <t>Nelfinavir</t>
  </si>
  <si>
    <t>MZ1</t>
  </si>
  <si>
    <t>Atazanavir</t>
  </si>
  <si>
    <t>ARV-825</t>
  </si>
  <si>
    <t>GEFITINIB-BASED PROTAC 3</t>
  </si>
  <si>
    <t>Hydrochlothiazide</t>
  </si>
  <si>
    <t>Hydrocortisone</t>
  </si>
  <si>
    <t>Everolimus</t>
  </si>
  <si>
    <t>Ritonavir</t>
  </si>
  <si>
    <t>Saquinavir</t>
  </si>
  <si>
    <t>Cyclosporine</t>
  </si>
  <si>
    <t>MW</t>
  </si>
  <si>
    <t>pKa Base 1</t>
  </si>
  <si>
    <t>Ion class</t>
  </si>
  <si>
    <t>Chromelog D</t>
  </si>
  <si>
    <t>ePSA</t>
  </si>
  <si>
    <t>Ertl TPSA</t>
  </si>
  <si>
    <t>ETR</t>
  </si>
  <si>
    <t xml:space="preserve">FeSSIF Dried DMSO solublility
(µM)
</t>
  </si>
  <si>
    <t>1</t>
  </si>
  <si>
    <t>ARV-110</t>
  </si>
  <si>
    <t>Base</t>
  </si>
  <si>
    <t>2</t>
  </si>
  <si>
    <t>ARV-471</t>
  </si>
  <si>
    <t>3</t>
  </si>
  <si>
    <t>ARV-766</t>
  </si>
  <si>
    <t>4</t>
  </si>
  <si>
    <t>KT-474</t>
  </si>
  <si>
    <t>5</t>
  </si>
  <si>
    <t>NX-2127</t>
  </si>
  <si>
    <t/>
  </si>
  <si>
    <t>6</t>
  </si>
  <si>
    <t>NX-5948</t>
  </si>
  <si>
    <t>7</t>
  </si>
  <si>
    <t>Neutral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</si>
  <si>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</si>
  <si>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</si>
  <si>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</si>
  <si>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</si>
  <si>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</si>
  <si>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</si>
  <si>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</si>
  <si>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</si>
  <si>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</si>
  <si>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</si>
  <si>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</si>
  <si>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</si>
  <si>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</si>
  <si>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</si>
  <si>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</si>
  <si>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</si>
  <si>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</si>
  <si>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</si>
  <si>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</si>
  <si>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</si>
  <si>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</si>
  <si>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</si>
  <si>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</si>
  <si>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</si>
  <si>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</si>
  <si>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</si>
  <si>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</si>
  <si>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</si>
  <si>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</si>
  <si>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</si>
  <si>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</si>
  <si>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</si>
  <si>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</si>
  <si>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</si>
  <si>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</si>
  <si>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</si>
  <si>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</si>
  <si>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</si>
  <si>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</si>
  <si>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</si>
  <si>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</si>
  <si>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</si>
  <si>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</si>
  <si>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</si>
  <si>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</si>
  <si>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</si>
  <si>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</si>
  <si>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</si>
  <si>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</si>
  <si>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</si>
  <si>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</si>
  <si>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</si>
  <si>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</si>
  <si>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</si>
  <si>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28</t>
  </si>
  <si>
    <t>mFabs</t>
  </si>
  <si>
    <t>Chamelogk100</t>
  </si>
  <si>
    <t>Chamelogk90</t>
  </si>
  <si>
    <t>curve shape annotation</t>
  </si>
  <si>
    <t>biphasic</t>
  </si>
  <si>
    <t>normal</t>
  </si>
  <si>
    <t>other</t>
  </si>
  <si>
    <t>ChamelogK curve (% ACN on X axis; logK on Y axis)</t>
  </si>
  <si>
    <t>mouse CL (mL/min/kg)</t>
  </si>
  <si>
    <t>&gt;152</t>
  </si>
  <si>
    <t>Mouse BA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</si>
</sst>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indexed="8"/>
      <name val="Calibri"/>
      <family val="2"/>
    </font>
    <font>
      <sz val="12"/>
      <name val="宋体"/>
      <charset val="134"/>
    </font>
    <font>
      <sz val="10"/>
      <color indexed="0"/>
      <name val="Arial"/>
      <family val="2"/>
    </font>
    <font>
      <sz val="10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rgb="FF212A3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EC20B"/>
      </right>
      <top style="medium">
        <color rgb="FF0EC20B"/>
      </top>
      <bottom style="medium">
        <color rgb="FF0EC20B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7" fillId="0" borderId="0">
      <alignment vertical="top"/>
    </xf>
    <xf numFmtId="0" fontId="8" fillId="0" borderId="0"/>
    <xf numFmtId="0" fontId="1" fillId="0" borderId="0"/>
    <xf numFmtId="0" fontId="9" fillId="0" borderId="0"/>
  </cellStyleXfs>
  <cellXfs count="58">
    <xf numFmtId="0" fontId="0" fillId="0" borderId="0" xfId="0"/>
    <xf numFmtId="0" fontId="5" fillId="3" borderId="0" xfId="0" applyFont="1" applyFill="1" applyAlignment="1">
      <alignment horizontal="center" vertical="center" wrapText="1" readingOrder="1"/>
    </xf>
    <xf numFmtId="0" fontId="6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49" fontId="11" fillId="2" borderId="4" xfId="0" applyNumberFormat="1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164" fontId="10" fillId="2" borderId="2" xfId="0" applyNumberFormat="1" applyFont="1" applyFill="1" applyBorder="1" applyAlignment="1">
      <alignment horizontal="center" vertical="center" wrapText="1"/>
    </xf>
    <xf numFmtId="2" fontId="10" fillId="2" borderId="3" xfId="0" applyNumberFormat="1" applyFont="1" applyFill="1" applyBorder="1" applyAlignment="1">
      <alignment horizontal="center" vertical="center" wrapText="1"/>
    </xf>
    <xf numFmtId="2" fontId="10" fillId="2" borderId="0" xfId="0" applyNumberFormat="1" applyFont="1" applyFill="1" applyAlignment="1">
      <alignment horizontal="center" vertical="center" wrapText="1"/>
    </xf>
    <xf numFmtId="49" fontId="10" fillId="2" borderId="10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1" fontId="10" fillId="2" borderId="4" xfId="0" applyNumberFormat="1" applyFont="1" applyFill="1" applyBorder="1" applyAlignment="1">
      <alignment horizontal="center" vertical="center" wrapText="1"/>
    </xf>
    <xf numFmtId="1" fontId="10" fillId="2" borderId="2" xfId="0" applyNumberFormat="1" applyFont="1" applyFill="1" applyBorder="1" applyAlignment="1">
      <alignment horizontal="center" vertical="center" wrapText="1"/>
    </xf>
    <xf numFmtId="2" fontId="10" fillId="2" borderId="2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1" fontId="10" fillId="0" borderId="5" xfId="0" applyNumberFormat="1" applyFont="1" applyBorder="1" applyAlignment="1">
      <alignment horizontal="center" vertical="center"/>
    </xf>
    <xf numFmtId="164" fontId="10" fillId="0" borderId="1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 wrapText="1"/>
    </xf>
    <xf numFmtId="164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2" fontId="10" fillId="0" borderId="11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1" fontId="10" fillId="0" borderId="8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2" fontId="10" fillId="0" borderId="7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 wrapText="1"/>
    </xf>
    <xf numFmtId="1" fontId="10" fillId="0" borderId="4" xfId="0" applyNumberFormat="1" applyFont="1" applyBorder="1" applyAlignment="1">
      <alignment horizontal="center" vertical="center" wrapText="1"/>
    </xf>
    <xf numFmtId="1" fontId="10" fillId="0" borderId="5" xfId="0" applyNumberFormat="1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2" fontId="10" fillId="2" borderId="10" xfId="0" applyNumberFormat="1" applyFont="1" applyFill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 wrapText="1"/>
    </xf>
  </cellXfs>
  <cellStyles count="5">
    <cellStyle name="Normal" xfId="0" builtinId="0"/>
    <cellStyle name="Normal 102" xfId="3" xr:uid="{BBDBA33C-DE49-41B2-A808-3D0646FF7419}"/>
    <cellStyle name="Normal 2" xfId="1" xr:uid="{E3740251-864E-4EA9-B1B6-D9C3EE96CC99}"/>
    <cellStyle name="Normal 2 2" xfId="2" xr:uid="{0FF8343A-C479-476D-BC1E-A1D70CF9A24F}"/>
    <cellStyle name="常规_SIF stability for ITMN 080527" xfId="4" xr:uid="{96262014-8387-4842-99F4-23525B07C22D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0.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A32"/>
        <name val="Calibr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212A32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07035734008426"/>
          <c:y val="0.11546470954418347"/>
          <c:w val="0.82950885910111627"/>
          <c:h val="0.6441081336981417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'[1]Raw data'!$B$3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data'!$C$3:$H$3</c:f>
              <c:numCache>
                <c:formatCode>General</c:formatCode>
                <c:ptCount val="6"/>
                <c:pt idx="0">
                  <c:v>0.61760444105812251</c:v>
                </c:pt>
                <c:pt idx="1">
                  <c:v>0.19293581570341109</c:v>
                </c:pt>
                <c:pt idx="2">
                  <c:v>-0.2061859473900548</c:v>
                </c:pt>
                <c:pt idx="3">
                  <c:v>-0.4486327169082247</c:v>
                </c:pt>
                <c:pt idx="4">
                  <c:v>-0.47859594028566793</c:v>
                </c:pt>
                <c:pt idx="5">
                  <c:v>-0.15912870363480236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C4-49CF-9AAC-751AF6FD1BBB}"/>
            </c:ext>
          </c:extLst>
        </c:ser>
        <c:ser>
          <c:idx val="1"/>
          <c:order val="1"/>
          <c:tx>
            <c:strRef>
              <c:f>'[1]Raw data'!$B$2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data'!$C$2:$H$2</c:f>
              <c:numCache>
                <c:formatCode>General</c:formatCode>
                <c:ptCount val="6"/>
                <c:pt idx="0">
                  <c:v>0.61760444105812251</c:v>
                </c:pt>
                <c:pt idx="1">
                  <c:v>0.19293581570341109</c:v>
                </c:pt>
                <c:pt idx="2">
                  <c:v>-0.2061859473900548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C4-49CF-9AAC-751AF6FD1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MeCN%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'[1]Raw data'!$B$3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data'!$C$13:$H$13</c:f>
              <c:numCache>
                <c:formatCode>General</c:formatCode>
                <c:ptCount val="6"/>
                <c:pt idx="0">
                  <c:v>1.1486444762209174</c:v>
                </c:pt>
                <c:pt idx="1">
                  <c:v>0.65841565479102437</c:v>
                </c:pt>
                <c:pt idx="2">
                  <c:v>0.23044892137827397</c:v>
                </c:pt>
                <c:pt idx="3">
                  <c:v>-9.7831104513248043E-2</c:v>
                </c:pt>
                <c:pt idx="4">
                  <c:v>-0.30995416888559624</c:v>
                </c:pt>
                <c:pt idx="5">
                  <c:v>-0.3525507203223987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F0-4C1C-988B-34BD1DAE1EC0}"/>
            </c:ext>
          </c:extLst>
        </c:ser>
        <c:ser>
          <c:idx val="1"/>
          <c:order val="1"/>
          <c:tx>
            <c:strRef>
              <c:f>'[1]Raw data'!$B$2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data'!$C$12:$H$12</c:f>
              <c:numCache>
                <c:formatCode>General</c:formatCode>
                <c:ptCount val="6"/>
                <c:pt idx="0">
                  <c:v>1.1486444762209174</c:v>
                </c:pt>
                <c:pt idx="1">
                  <c:v>0.65841565479102437</c:v>
                </c:pt>
                <c:pt idx="2">
                  <c:v>0.23044892137827397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F0-4C1C-988B-34BD1DAE1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MeCN%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'[1]Raw data'!$B$3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data'!$C$15:$H$15</c:f>
              <c:numCache>
                <c:formatCode>General</c:formatCode>
                <c:ptCount val="6"/>
                <c:pt idx="0">
                  <c:v>0.26816531035526775</c:v>
                </c:pt>
                <c:pt idx="1">
                  <c:v>-0.20382564548308379</c:v>
                </c:pt>
                <c:pt idx="2">
                  <c:v>-0.53532356473459519</c:v>
                </c:pt>
                <c:pt idx="3">
                  <c:v>-0.72163398897196263</c:v>
                </c:pt>
                <c:pt idx="4">
                  <c:v>-0.66026230134289521</c:v>
                </c:pt>
                <c:pt idx="5">
                  <c:v>-0.24710554483057959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84-47DD-9CEB-DF89472D7438}"/>
            </c:ext>
          </c:extLst>
        </c:ser>
        <c:ser>
          <c:idx val="1"/>
          <c:order val="1"/>
          <c:tx>
            <c:strRef>
              <c:f>'[1]Raw data'!$B$2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data'!$C$14:$H$14</c:f>
              <c:numCache>
                <c:formatCode>General</c:formatCode>
                <c:ptCount val="6"/>
                <c:pt idx="0">
                  <c:v>0.26816531035526775</c:v>
                </c:pt>
                <c:pt idx="1">
                  <c:v>-0.20382564548308379</c:v>
                </c:pt>
                <c:pt idx="2">
                  <c:v>-0.53532356473459519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84-47DD-9CEB-DF89472D7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MeCN%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'[1]Raw data'!$B$29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data'!$C$29:$H$29</c:f>
              <c:numCache>
                <c:formatCode>General</c:formatCode>
                <c:ptCount val="6"/>
                <c:pt idx="0">
                  <c:v>0.72566250705560087</c:v>
                </c:pt>
                <c:pt idx="1">
                  <c:v>0.23389914394885691</c:v>
                </c:pt>
                <c:pt idx="2">
                  <c:v>-0.15280391493005155</c:v>
                </c:pt>
                <c:pt idx="3">
                  <c:v>-0.4343922777936145</c:v>
                </c:pt>
                <c:pt idx="4">
                  <c:v>-0.54554272991628128</c:v>
                </c:pt>
                <c:pt idx="5">
                  <c:v>-0.5253393438279943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D7-4050-AC61-4037CAF23F5E}"/>
            </c:ext>
          </c:extLst>
        </c:ser>
        <c:ser>
          <c:idx val="1"/>
          <c:order val="1"/>
          <c:tx>
            <c:strRef>
              <c:f>'[1]Raw data'!$B$28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data'!$C$28:$H$28</c:f>
              <c:numCache>
                <c:formatCode>General</c:formatCode>
                <c:ptCount val="6"/>
                <c:pt idx="0">
                  <c:v>0.72566250705560087</c:v>
                </c:pt>
                <c:pt idx="1">
                  <c:v>0.23389914394885691</c:v>
                </c:pt>
                <c:pt idx="2">
                  <c:v>-0.15280391493005155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D7-4050-AC61-4037CAF23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MeCN%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'[1]Raw data'!$B$3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data'!$C$7:$H$7</c:f>
              <c:numCache>
                <c:formatCode>General</c:formatCode>
                <c:ptCount val="6"/>
                <c:pt idx="0">
                  <c:v>0.93858756249026676</c:v>
                </c:pt>
                <c:pt idx="1">
                  <c:v>0.44715803134221926</c:v>
                </c:pt>
                <c:pt idx="2">
                  <c:v>4.3942480980922651E-3</c:v>
                </c:pt>
                <c:pt idx="3">
                  <c:v>-0.29663574756588884</c:v>
                </c:pt>
                <c:pt idx="4">
                  <c:v>-0.41291716464169037</c:v>
                </c:pt>
                <c:pt idx="5">
                  <c:v>-0.3979400086720376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A9-45AA-8B69-EE0B0D1BC6DE}"/>
            </c:ext>
          </c:extLst>
        </c:ser>
        <c:ser>
          <c:idx val="1"/>
          <c:order val="1"/>
          <c:tx>
            <c:strRef>
              <c:f>'[1]Raw data'!$B$2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data'!$C$6:$H$6</c:f>
              <c:numCache>
                <c:formatCode>General</c:formatCode>
                <c:ptCount val="6"/>
                <c:pt idx="0">
                  <c:v>0.93858756249026676</c:v>
                </c:pt>
                <c:pt idx="1">
                  <c:v>0.44715803134221926</c:v>
                </c:pt>
                <c:pt idx="2">
                  <c:v>4.3942480980922651E-3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A9-45AA-8B69-EE0B0D1BC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MeCN%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'[1]Raw data'!$B$3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data'!$C$11:$H$11</c:f>
              <c:numCache>
                <c:formatCode>General</c:formatCode>
                <c:ptCount val="6"/>
                <c:pt idx="0">
                  <c:v>-0.51557950653883799</c:v>
                </c:pt>
                <c:pt idx="1">
                  <c:v>-0.75801478693697211</c:v>
                </c:pt>
                <c:pt idx="2">
                  <c:v>-1.0896107742665566</c:v>
                </c:pt>
                <c:pt idx="3">
                  <c:v>-1.3084540137431877</c:v>
                </c:pt>
                <c:pt idx="4">
                  <c:v>-1.0896107742665566</c:v>
                </c:pt>
                <c:pt idx="5">
                  <c:v>-1.4091241756245509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98-43C1-AA15-B56AA96A9670}"/>
            </c:ext>
          </c:extLst>
        </c:ser>
        <c:ser>
          <c:idx val="1"/>
          <c:order val="1"/>
          <c:tx>
            <c:strRef>
              <c:f>'[1]Raw data'!$B$2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data'!$C$10:$H$10</c:f>
              <c:numCache>
                <c:formatCode>General</c:formatCode>
                <c:ptCount val="6"/>
                <c:pt idx="0">
                  <c:v>-0.51557950653883799</c:v>
                </c:pt>
                <c:pt idx="1">
                  <c:v>-0.75801478693697211</c:v>
                </c:pt>
                <c:pt idx="2">
                  <c:v>-1.0896107742665566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98-43C1-AA15-B56AA96A9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MeCN%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'[1]Raw data'!$B$29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data'!$C$33:$H$33</c:f>
              <c:numCache>
                <c:formatCode>General</c:formatCode>
                <c:ptCount val="6"/>
                <c:pt idx="0">
                  <c:v>-0.23177591284936744</c:v>
                </c:pt>
                <c:pt idx="1">
                  <c:v>-0.49209841068931504</c:v>
                </c:pt>
                <c:pt idx="2">
                  <c:v>-0.68094690020274617</c:v>
                </c:pt>
                <c:pt idx="3">
                  <c:v>-0.77962593594964946</c:v>
                </c:pt>
                <c:pt idx="4">
                  <c:v>-0.68094690020274617</c:v>
                </c:pt>
                <c:pt idx="5">
                  <c:v>-0.62472397596390605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81-4F89-8E53-1E1DD8F9C0CA}"/>
            </c:ext>
          </c:extLst>
        </c:ser>
        <c:ser>
          <c:idx val="1"/>
          <c:order val="1"/>
          <c:tx>
            <c:strRef>
              <c:f>'[1]Raw data'!$B$28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data'!$C$32:$H$32</c:f>
              <c:numCache>
                <c:formatCode>General</c:formatCode>
                <c:ptCount val="6"/>
                <c:pt idx="0">
                  <c:v>-0.23177591284936744</c:v>
                </c:pt>
                <c:pt idx="1">
                  <c:v>-0.49209841068931504</c:v>
                </c:pt>
                <c:pt idx="2">
                  <c:v>-0.68094690020274617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81-4F89-8E53-1E1DD8F9C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MeCN%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'[1]Raw data'!$B$5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data'!$C$5:$H$5</c:f>
              <c:numCache>
                <c:formatCode>General</c:formatCode>
                <c:ptCount val="6"/>
                <c:pt idx="0">
                  <c:v>1.2530174897461879</c:v>
                </c:pt>
                <c:pt idx="1">
                  <c:v>0.72869761426300483</c:v>
                </c:pt>
                <c:pt idx="2">
                  <c:v>0.26015226972139255</c:v>
                </c:pt>
                <c:pt idx="3">
                  <c:v>-7.3622668882426537E-2</c:v>
                </c:pt>
                <c:pt idx="4">
                  <c:v>-0.30546916019372583</c:v>
                </c:pt>
                <c:pt idx="5">
                  <c:v>-0.4053640267512445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BB-4395-9988-4BAECAD309BD}"/>
            </c:ext>
          </c:extLst>
        </c:ser>
        <c:ser>
          <c:idx val="1"/>
          <c:order val="1"/>
          <c:tx>
            <c:strRef>
              <c:f>'[1]Raw data'!$B$2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data'!$C$4:$H$4</c:f>
              <c:numCache>
                <c:formatCode>General</c:formatCode>
                <c:ptCount val="6"/>
                <c:pt idx="0">
                  <c:v>1.2530174897461879</c:v>
                </c:pt>
                <c:pt idx="1">
                  <c:v>0.72869761426300483</c:v>
                </c:pt>
                <c:pt idx="2">
                  <c:v>0.26015226972139255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BB-4395-9988-4BAECAD30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MeCN%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'[1]Raw data'!$B$3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data'!$C$9:$H$9</c:f>
              <c:numCache>
                <c:formatCode>General</c:formatCode>
                <c:ptCount val="6"/>
                <c:pt idx="0">
                  <c:v>0.74076400892699357</c:v>
                </c:pt>
                <c:pt idx="1">
                  <c:v>0.30724213876426648</c:v>
                </c:pt>
                <c:pt idx="2">
                  <c:v>-8.9610774266556878E-2</c:v>
                </c:pt>
                <c:pt idx="3">
                  <c:v>-0.36601829502220606</c:v>
                </c:pt>
                <c:pt idx="4">
                  <c:v>-0.48081740027962605</c:v>
                </c:pt>
                <c:pt idx="5">
                  <c:v>-0.42842933081993778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79-44E3-A27B-9E7A9AB90287}"/>
            </c:ext>
          </c:extLst>
        </c:ser>
        <c:ser>
          <c:idx val="1"/>
          <c:order val="1"/>
          <c:tx>
            <c:strRef>
              <c:f>'[1]Raw data'!$B$2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data'!$C$8:$H$8</c:f>
              <c:numCache>
                <c:formatCode>General</c:formatCode>
                <c:ptCount val="6"/>
                <c:pt idx="0">
                  <c:v>0.74076400892699357</c:v>
                </c:pt>
                <c:pt idx="1">
                  <c:v>0.30724213876426648</c:v>
                </c:pt>
                <c:pt idx="2">
                  <c:v>-8.9610774266556878E-2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79-44E3-A27B-9E7A9AB90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MeCN%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'[1]Raw data'!$B$3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data'!$C$17:$H$17</c:f>
              <c:numCache>
                <c:formatCode>General</c:formatCode>
                <c:ptCount val="6"/>
                <c:pt idx="0">
                  <c:v>0.81831537890390349</c:v>
                </c:pt>
                <c:pt idx="1">
                  <c:v>0.33838895694605908</c:v>
                </c:pt>
                <c:pt idx="2">
                  <c:v>-4.7396339606958396E-2</c:v>
                </c:pt>
                <c:pt idx="3">
                  <c:v>-0.28655217229535829</c:v>
                </c:pt>
                <c:pt idx="4">
                  <c:v>-0.48305028171191794</c:v>
                </c:pt>
                <c:pt idx="5">
                  <c:v>-0.31753367159510643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80-4F92-A0F2-2FCE9910C76B}"/>
            </c:ext>
          </c:extLst>
        </c:ser>
        <c:ser>
          <c:idx val="1"/>
          <c:order val="1"/>
          <c:tx>
            <c:strRef>
              <c:f>'[1]Raw data'!$B$2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data'!$C$16:$H$16</c:f>
              <c:numCache>
                <c:formatCode>General</c:formatCode>
                <c:ptCount val="6"/>
                <c:pt idx="0">
                  <c:v>0.81831537890390349</c:v>
                </c:pt>
                <c:pt idx="1">
                  <c:v>0.33838895694605908</c:v>
                </c:pt>
                <c:pt idx="2">
                  <c:v>-4.7396339606958396E-2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80-4F92-A0F2-2FCE9910C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MeCN%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484015641080633"/>
          <c:y val="0.16826358696729141"/>
          <c:w val="0.75116950663693838"/>
          <c:h val="0.493505839829739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'[1]Raw data'!$B$3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data'!$C$19:$H$19</c:f>
              <c:numCache>
                <c:formatCode>General</c:formatCode>
                <c:ptCount val="6"/>
                <c:pt idx="0">
                  <c:v>1.6922044164430141</c:v>
                </c:pt>
                <c:pt idx="1">
                  <c:v>0.96578348604467712</c:v>
                </c:pt>
                <c:pt idx="2">
                  <c:v>0.40262563181085043</c:v>
                </c:pt>
                <c:pt idx="3">
                  <c:v>-9.5073669968059021E-2</c:v>
                </c:pt>
                <c:pt idx="4">
                  <c:v>-0.33788272076773845</c:v>
                </c:pt>
                <c:pt idx="5">
                  <c:v>-0.36773149046632625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30-4A64-B440-1A66D3789004}"/>
            </c:ext>
          </c:extLst>
        </c:ser>
        <c:ser>
          <c:idx val="1"/>
          <c:order val="1"/>
          <c:tx>
            <c:strRef>
              <c:f>'[1]Raw data'!$B$2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data'!$C$18:$H$18</c:f>
              <c:numCache>
                <c:formatCode>General</c:formatCode>
                <c:ptCount val="6"/>
                <c:pt idx="0">
                  <c:v>1.6922044164430141</c:v>
                </c:pt>
                <c:pt idx="1">
                  <c:v>0.96578348604467712</c:v>
                </c:pt>
                <c:pt idx="2">
                  <c:v>0.40262563181085043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30-4A64-B440-1A66D3789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MeCN%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LogK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data'!$C$15:$H$15</c:f>
              <c:numCache>
                <c:formatCode>General</c:formatCode>
                <c:ptCount val="6"/>
                <c:pt idx="0">
                  <c:v>1.475255992803415</c:v>
                </c:pt>
                <c:pt idx="1">
                  <c:v>0.92584597342505448</c:v>
                </c:pt>
                <c:pt idx="2">
                  <c:v>0.53170695300543758</c:v>
                </c:pt>
                <c:pt idx="3">
                  <c:v>0.22122788534778084</c:v>
                </c:pt>
                <c:pt idx="4">
                  <c:v>-7.0364281544154405E-3</c:v>
                </c:pt>
                <c:pt idx="5">
                  <c:v>-7.240968533211542E-2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D7-47A2-A71F-4E3761170243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data'!$C$15:$E$15</c:f>
              <c:numCache>
                <c:formatCode>General</c:formatCode>
                <c:ptCount val="3"/>
                <c:pt idx="0">
                  <c:v>1.475255992803415</c:v>
                </c:pt>
                <c:pt idx="1">
                  <c:v>0.92584597342505448</c:v>
                </c:pt>
                <c:pt idx="2">
                  <c:v>0.53170695300543758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D7-47A2-A71F-4E3761170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data'!$C$19:$H$19</c:f>
              <c:numCache>
                <c:formatCode>General</c:formatCode>
                <c:ptCount val="6"/>
                <c:pt idx="0">
                  <c:v>1.2686782438227744</c:v>
                </c:pt>
                <c:pt idx="1">
                  <c:v>0.72617394902643029</c:v>
                </c:pt>
                <c:pt idx="2">
                  <c:v>0.40987276693040475</c:v>
                </c:pt>
                <c:pt idx="3">
                  <c:v>0.15652751827248046</c:v>
                </c:pt>
                <c:pt idx="4">
                  <c:v>-2.0646769977644024E-2</c:v>
                </c:pt>
                <c:pt idx="5">
                  <c:v>1.8967839075979966E-2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3D-4A8D-A455-090BEE3F50DD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data'!$C$19:$E$19</c:f>
              <c:numCache>
                <c:formatCode>General</c:formatCode>
                <c:ptCount val="3"/>
                <c:pt idx="0">
                  <c:v>1.2686782438227744</c:v>
                </c:pt>
                <c:pt idx="1">
                  <c:v>0.72617394902643029</c:v>
                </c:pt>
                <c:pt idx="2">
                  <c:v>0.40987276693040475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3D-4A8D-A455-090BEE3F5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data'!$C$21:$H$21</c:f>
              <c:numCache>
                <c:formatCode>General</c:formatCode>
                <c:ptCount val="6"/>
                <c:pt idx="0">
                  <c:v>1.3151828665795038</c:v>
                </c:pt>
                <c:pt idx="1">
                  <c:v>0.72806376900083303</c:v>
                </c:pt>
                <c:pt idx="2">
                  <c:v>0.34628310163544423</c:v>
                </c:pt>
                <c:pt idx="3">
                  <c:v>4.7691990337874732E-2</c:v>
                </c:pt>
                <c:pt idx="4">
                  <c:v>-0.17998630293920542</c:v>
                </c:pt>
                <c:pt idx="5">
                  <c:v>-0.22184874961635648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19-4907-BE26-D6377C8B6AE2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data'!$C$21:$E$21</c:f>
              <c:numCache>
                <c:formatCode>General</c:formatCode>
                <c:ptCount val="3"/>
                <c:pt idx="0">
                  <c:v>1.3151828665795038</c:v>
                </c:pt>
                <c:pt idx="1">
                  <c:v>0.72806376900083303</c:v>
                </c:pt>
                <c:pt idx="2">
                  <c:v>0.34628310163544423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19-4907-BE26-D6377C8B6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data'!$C$8:$H$8</c:f>
              <c:numCache>
                <c:formatCode>General</c:formatCode>
                <c:ptCount val="6"/>
                <c:pt idx="0">
                  <c:v>0.46186282286893671</c:v>
                </c:pt>
                <c:pt idx="1">
                  <c:v>0.13262556527459088</c:v>
                </c:pt>
                <c:pt idx="2">
                  <c:v>-5.008748138281064E-2</c:v>
                </c:pt>
                <c:pt idx="3">
                  <c:v>-0.12493873660830009</c:v>
                </c:pt>
                <c:pt idx="4">
                  <c:v>-0.12082217041346793</c:v>
                </c:pt>
                <c:pt idx="5">
                  <c:v>0.71270981575034742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DB-4036-AB21-C7EA4E8B3AC2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data'!$C$8:$E$8</c:f>
              <c:numCache>
                <c:formatCode>General</c:formatCode>
                <c:ptCount val="3"/>
                <c:pt idx="0">
                  <c:v>0.46186282286893671</c:v>
                </c:pt>
                <c:pt idx="1">
                  <c:v>0.13262556527459088</c:v>
                </c:pt>
                <c:pt idx="2">
                  <c:v>-5.008748138281064E-2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DB-4036-AB21-C7EA4E8B3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data'!$C$9:$H$9</c:f>
              <c:numCache>
                <c:formatCode>General</c:formatCode>
                <c:ptCount val="6"/>
                <c:pt idx="0">
                  <c:v>1.3117160288782048</c:v>
                </c:pt>
                <c:pt idx="1">
                  <c:v>0.83501074696242217</c:v>
                </c:pt>
                <c:pt idx="2">
                  <c:v>0.5471591213274174</c:v>
                </c:pt>
                <c:pt idx="3">
                  <c:v>0.30489041647721921</c:v>
                </c:pt>
                <c:pt idx="4">
                  <c:v>0.141673694251988</c:v>
                </c:pt>
                <c:pt idx="5">
                  <c:v>0.61972671178755212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30-4410-AD05-3C6203173D15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data'!$C$9:$E$9</c:f>
              <c:numCache>
                <c:formatCode>General</c:formatCode>
                <c:ptCount val="3"/>
                <c:pt idx="0">
                  <c:v>1.3117160288782048</c:v>
                </c:pt>
                <c:pt idx="1">
                  <c:v>0.83501074696242217</c:v>
                </c:pt>
                <c:pt idx="2">
                  <c:v>0.5471591213274174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30-4410-AD05-3C6203173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data'!$C$9:$H$9</c:f>
              <c:numCache>
                <c:formatCode>General</c:formatCode>
                <c:ptCount val="6"/>
                <c:pt idx="0">
                  <c:v>1.3117160288782048</c:v>
                </c:pt>
                <c:pt idx="1">
                  <c:v>0.83501074696242217</c:v>
                </c:pt>
                <c:pt idx="2">
                  <c:v>0.5471591213274174</c:v>
                </c:pt>
                <c:pt idx="3">
                  <c:v>0.30489041647721921</c:v>
                </c:pt>
                <c:pt idx="4">
                  <c:v>0.141673694251988</c:v>
                </c:pt>
                <c:pt idx="5">
                  <c:v>0.61972671178755212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06-4C5C-8E31-69A624134F89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data'!$C$9:$E$9</c:f>
              <c:numCache>
                <c:formatCode>General</c:formatCode>
                <c:ptCount val="3"/>
                <c:pt idx="0">
                  <c:v>1.3117160288782048</c:v>
                </c:pt>
                <c:pt idx="1">
                  <c:v>0.83501074696242217</c:v>
                </c:pt>
                <c:pt idx="2">
                  <c:v>0.5471591213274174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06-4C5C-8E31-69A624134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data'!$C$10:$H$10</c:f>
              <c:numCache>
                <c:formatCode>General</c:formatCode>
                <c:ptCount val="6"/>
                <c:pt idx="0">
                  <c:v>1.3906828303133034</c:v>
                </c:pt>
                <c:pt idx="1">
                  <c:v>0.8853814155478914</c:v>
                </c:pt>
                <c:pt idx="2">
                  <c:v>0.55435934548128507</c:v>
                </c:pt>
                <c:pt idx="3">
                  <c:v>0.29986514610940862</c:v>
                </c:pt>
                <c:pt idx="4">
                  <c:v>6.2044490988883545E-2</c:v>
                </c:pt>
                <c:pt idx="5">
                  <c:v>0.25870568094169999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B0-44C1-804C-5C6AEDD362E0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data'!$C$10:$E$10</c:f>
              <c:numCache>
                <c:formatCode>General</c:formatCode>
                <c:ptCount val="3"/>
                <c:pt idx="0">
                  <c:v>1.3906828303133034</c:v>
                </c:pt>
                <c:pt idx="1">
                  <c:v>0.8853814155478914</c:v>
                </c:pt>
                <c:pt idx="2">
                  <c:v>0.55435934548128507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8B0-44C1-804C-5C6AEDD36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data'!$C$12:$H$12</c:f>
              <c:numCache>
                <c:formatCode>General</c:formatCode>
                <c:ptCount val="6"/>
                <c:pt idx="0">
                  <c:v>0.46744953642886122</c:v>
                </c:pt>
                <c:pt idx="1">
                  <c:v>4.3502622013917504E-2</c:v>
                </c:pt>
                <c:pt idx="2">
                  <c:v>-0.16612466409449181</c:v>
                </c:pt>
                <c:pt idx="3">
                  <c:v>-0.32658410013636957</c:v>
                </c:pt>
                <c:pt idx="4">
                  <c:v>-0.3450675058303827</c:v>
                </c:pt>
                <c:pt idx="5">
                  <c:v>-0.22574379349988064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1D-4044-ADEA-141CD4A4C33F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data'!$C$12:$E$12</c:f>
              <c:numCache>
                <c:formatCode>General</c:formatCode>
                <c:ptCount val="3"/>
                <c:pt idx="0">
                  <c:v>0.46744953642886122</c:v>
                </c:pt>
                <c:pt idx="1">
                  <c:v>4.3502622013917504E-2</c:v>
                </c:pt>
                <c:pt idx="2">
                  <c:v>-0.16612466409449181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1D-4044-ADEA-141CD4A4C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data'!$C$12:$H$12</c:f>
              <c:numCache>
                <c:formatCode>General</c:formatCode>
                <c:ptCount val="6"/>
                <c:pt idx="0">
                  <c:v>0.46744953642886122</c:v>
                </c:pt>
                <c:pt idx="1">
                  <c:v>4.3502622013917504E-2</c:v>
                </c:pt>
                <c:pt idx="2">
                  <c:v>-0.16612466409449181</c:v>
                </c:pt>
                <c:pt idx="3">
                  <c:v>-0.32658410013636957</c:v>
                </c:pt>
                <c:pt idx="4">
                  <c:v>-0.3450675058303827</c:v>
                </c:pt>
                <c:pt idx="5">
                  <c:v>-0.22574379349988064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4F-43E7-A555-8C8B7F2E97CD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data'!$C$12:$E$12</c:f>
              <c:numCache>
                <c:formatCode>General</c:formatCode>
                <c:ptCount val="3"/>
                <c:pt idx="0">
                  <c:v>0.46744953642886122</c:v>
                </c:pt>
                <c:pt idx="1">
                  <c:v>4.3502622013917504E-2</c:v>
                </c:pt>
                <c:pt idx="2">
                  <c:v>-0.16612466409449181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4F-43E7-A555-8C8B7F2E9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data'!$C$14:$H$14</c:f>
              <c:numCache>
                <c:formatCode>General</c:formatCode>
                <c:ptCount val="6"/>
                <c:pt idx="0">
                  <c:v>0.25955975099453948</c:v>
                </c:pt>
                <c:pt idx="1">
                  <c:v>-5.9768205003489845E-2</c:v>
                </c:pt>
                <c:pt idx="2">
                  <c:v>-0.18708664335714448</c:v>
                </c:pt>
                <c:pt idx="3">
                  <c:v>-0.22055812613486189</c:v>
                </c:pt>
                <c:pt idx="4">
                  <c:v>-1.3388197417353569E-2</c:v>
                </c:pt>
                <c:pt idx="5">
                  <c:v>-0.34851430552516233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08-4ACC-B75A-3BE060DA486F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data'!$C$14:$E$14</c:f>
              <c:numCache>
                <c:formatCode>General</c:formatCode>
                <c:ptCount val="3"/>
                <c:pt idx="0">
                  <c:v>0.25955975099453948</c:v>
                </c:pt>
                <c:pt idx="1">
                  <c:v>-5.9768205003489845E-2</c:v>
                </c:pt>
                <c:pt idx="2">
                  <c:v>-0.18708664335714448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08-4ACC-B75A-3BE060DA4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data'!$C$17:$H$17</c:f>
              <c:numCache>
                <c:formatCode>General</c:formatCode>
                <c:ptCount val="6"/>
                <c:pt idx="0">
                  <c:v>1.8543277342903786</c:v>
                </c:pt>
                <c:pt idx="1">
                  <c:v>1.237911598048929</c:v>
                </c:pt>
                <c:pt idx="2">
                  <c:v>0.81647803724588897</c:v>
                </c:pt>
                <c:pt idx="3">
                  <c:v>0.47060997110553704</c:v>
                </c:pt>
                <c:pt idx="4">
                  <c:v>0.17245697440058713</c:v>
                </c:pt>
                <c:pt idx="5">
                  <c:v>-2.2276394711152253E-2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56-4268-B08C-D9E3AE9E2471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data'!$C$17:$E$17</c:f>
              <c:numCache>
                <c:formatCode>General</c:formatCode>
                <c:ptCount val="3"/>
                <c:pt idx="0">
                  <c:v>1.8543277342903786</c:v>
                </c:pt>
                <c:pt idx="1">
                  <c:v>1.237911598048929</c:v>
                </c:pt>
                <c:pt idx="2">
                  <c:v>0.81647803724588897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56-4268-B08C-D9E3AE9E2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data'!$C$18:$H$18</c:f>
              <c:numCache>
                <c:formatCode>General</c:formatCode>
                <c:ptCount val="6"/>
                <c:pt idx="0">
                  <c:v>0.27547589119159305</c:v>
                </c:pt>
                <c:pt idx="1">
                  <c:v>-9.7880503874264155E-2</c:v>
                </c:pt>
                <c:pt idx="2">
                  <c:v>-0.28280517555778228</c:v>
                </c:pt>
                <c:pt idx="3">
                  <c:v>-0.43012469204343901</c:v>
                </c:pt>
                <c:pt idx="4">
                  <c:v>-0.39025318000574671</c:v>
                </c:pt>
                <c:pt idx="5">
                  <c:v>3.1408464251624031E-2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56-4FDE-AEF0-AF48BFD70098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data'!$C$18:$E$18</c:f>
              <c:numCache>
                <c:formatCode>General</c:formatCode>
                <c:ptCount val="3"/>
                <c:pt idx="0">
                  <c:v>0.27547589119159305</c:v>
                </c:pt>
                <c:pt idx="1">
                  <c:v>-9.7880503874264155E-2</c:v>
                </c:pt>
                <c:pt idx="2">
                  <c:v>-0.28280517555778228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56-4FDE-AEF0-AF48BFD70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data'!$C$20:$H$20</c:f>
              <c:numCache>
                <c:formatCode>General</c:formatCode>
                <c:ptCount val="6"/>
                <c:pt idx="0">
                  <c:v>0.11274859369389324</c:v>
                </c:pt>
                <c:pt idx="1">
                  <c:v>0.11274859369389324</c:v>
                </c:pt>
                <c:pt idx="2">
                  <c:v>-0.35902194264166798</c:v>
                </c:pt>
                <c:pt idx="3">
                  <c:v>-0.44499196958571169</c:v>
                </c:pt>
                <c:pt idx="4">
                  <c:v>-0.35549107374653477</c:v>
                </c:pt>
                <c:pt idx="5">
                  <c:v>-1.8213741306644896E-2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5E-46D2-88B5-4E9BCDC2E246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data'!$C$20:$E$20</c:f>
              <c:numCache>
                <c:formatCode>General</c:formatCode>
                <c:ptCount val="3"/>
                <c:pt idx="0">
                  <c:v>0.11274859369389324</c:v>
                </c:pt>
                <c:pt idx="1">
                  <c:v>0.11274859369389324</c:v>
                </c:pt>
                <c:pt idx="2">
                  <c:v>-0.35902194264166798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5E-46D2-88B5-4E9BCDC2E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data'!$C$22:$H$22</c:f>
              <c:numCache>
                <c:formatCode>General</c:formatCode>
                <c:ptCount val="6"/>
                <c:pt idx="0">
                  <c:v>1.7958179708432334</c:v>
                </c:pt>
                <c:pt idx="1">
                  <c:v>1.2736212500161395</c:v>
                </c:pt>
                <c:pt idx="2">
                  <c:v>0.93853759406834181</c:v>
                </c:pt>
                <c:pt idx="3">
                  <c:v>0.65027282260202279</c:v>
                </c:pt>
                <c:pt idx="4">
                  <c:v>0.44017789905694787</c:v>
                </c:pt>
                <c:pt idx="5">
                  <c:v>0.59502356317354699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E6-472F-A7F3-1DBAA7DF72F4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data'!$C$22:$E$22</c:f>
              <c:numCache>
                <c:formatCode>General</c:formatCode>
                <c:ptCount val="3"/>
                <c:pt idx="0">
                  <c:v>1.7958179708432334</c:v>
                </c:pt>
                <c:pt idx="1">
                  <c:v>1.2736212500161395</c:v>
                </c:pt>
                <c:pt idx="2">
                  <c:v>0.93853759406834181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E6-472F-A7F3-1DBAA7DF7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data'!$C$23:$H$23</c:f>
              <c:numCache>
                <c:formatCode>General</c:formatCode>
                <c:ptCount val="6"/>
                <c:pt idx="0">
                  <c:v>1.594589840381047</c:v>
                </c:pt>
                <c:pt idx="1">
                  <c:v>1.0209676637081984</c:v>
                </c:pt>
                <c:pt idx="2">
                  <c:v>0.67962254566978975</c:v>
                </c:pt>
                <c:pt idx="3">
                  <c:v>0.39011467116008103</c:v>
                </c:pt>
                <c:pt idx="4">
                  <c:v>0.18932986501114613</c:v>
                </c:pt>
                <c:pt idx="5">
                  <c:v>0.48302662095640059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DF-4C95-A879-3770F8FDC157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data'!$C$23:$E$23</c:f>
              <c:numCache>
                <c:formatCode>General</c:formatCode>
                <c:ptCount val="3"/>
                <c:pt idx="0">
                  <c:v>1.594589840381047</c:v>
                </c:pt>
                <c:pt idx="1">
                  <c:v>1.0209676637081984</c:v>
                </c:pt>
                <c:pt idx="2">
                  <c:v>0.67962254566978975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DF-4C95-A879-3770F8FDC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data'!$C$24:$H$24</c:f>
              <c:numCache>
                <c:formatCode>General</c:formatCode>
                <c:ptCount val="6"/>
                <c:pt idx="0">
                  <c:v>1.3011463089660833</c:v>
                </c:pt>
                <c:pt idx="1">
                  <c:v>0.76569515860489223</c:v>
                </c:pt>
                <c:pt idx="2">
                  <c:v>0.44354236635665589</c:v>
                </c:pt>
                <c:pt idx="3">
                  <c:v>0.1687920203141817</c:v>
                </c:pt>
                <c:pt idx="4">
                  <c:v>-2.1460817979628278E-2</c:v>
                </c:pt>
                <c:pt idx="5">
                  <c:v>0.25656312858480057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A2-47E8-9104-95B25D7BA184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data'!$C$24:$E$24</c:f>
              <c:numCache>
                <c:formatCode>General</c:formatCode>
                <c:ptCount val="3"/>
                <c:pt idx="0">
                  <c:v>1.3011463089660833</c:v>
                </c:pt>
                <c:pt idx="1">
                  <c:v>0.76569515860489223</c:v>
                </c:pt>
                <c:pt idx="2">
                  <c:v>0.44354236635665589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A2-47E8-9104-95B25D7BA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data'!$C$25:$H$25</c:f>
              <c:numCache>
                <c:formatCode>General</c:formatCode>
                <c:ptCount val="6"/>
                <c:pt idx="0">
                  <c:v>-0.8505609357157593</c:v>
                </c:pt>
                <c:pt idx="1">
                  <c:v>-1.2430380486862955</c:v>
                </c:pt>
                <c:pt idx="2">
                  <c:v>-0.86737443472540932</c:v>
                </c:pt>
                <c:pt idx="3">
                  <c:v>-0.82910993463012672</c:v>
                </c:pt>
                <c:pt idx="4">
                  <c:v>-0.59285198954113894</c:v>
                </c:pt>
                <c:pt idx="5">
                  <c:v>-1.0492180226701822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AD-452A-BDF4-8B2ACCC94F75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data'!$C$25:$E$25</c:f>
              <c:numCache>
                <c:formatCode>General</c:formatCode>
                <c:ptCount val="3"/>
                <c:pt idx="0">
                  <c:v>-0.8505609357157593</c:v>
                </c:pt>
                <c:pt idx="1">
                  <c:v>-1.2430380486862955</c:v>
                </c:pt>
                <c:pt idx="2">
                  <c:v>-0.86737443472540932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5AD-452A-BDF4-8B2ACCC94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data'!$C$27:$H$27</c:f>
              <c:numCache>
                <c:formatCode>General</c:formatCode>
                <c:ptCount val="6"/>
                <c:pt idx="0">
                  <c:v>1.0628504815980153</c:v>
                </c:pt>
                <c:pt idx="1">
                  <c:v>0.6592028774645311</c:v>
                </c:pt>
                <c:pt idx="2">
                  <c:v>0.41705629911911041</c:v>
                </c:pt>
                <c:pt idx="3">
                  <c:v>0.2680093265062386</c:v>
                </c:pt>
                <c:pt idx="4">
                  <c:v>0.27465258387032737</c:v>
                </c:pt>
                <c:pt idx="5">
                  <c:v>1.023472932342687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26-44AF-981E-679A8F0F9F64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data'!$C$27:$E$27</c:f>
              <c:numCache>
                <c:formatCode>General</c:formatCode>
                <c:ptCount val="3"/>
                <c:pt idx="0">
                  <c:v>1.0628504815980153</c:v>
                </c:pt>
                <c:pt idx="1">
                  <c:v>0.6592028774645311</c:v>
                </c:pt>
                <c:pt idx="2">
                  <c:v>0.41705629911911041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F26-44AF-981E-679A8F0F9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data'!$C$28:$H$28</c:f>
              <c:numCache>
                <c:formatCode>General</c:formatCode>
                <c:ptCount val="6"/>
                <c:pt idx="0">
                  <c:v>-9.4074685218312731E-3</c:v>
                </c:pt>
                <c:pt idx="1">
                  <c:v>-0.29486968695916294</c:v>
                </c:pt>
                <c:pt idx="2">
                  <c:v>-0.35024801833416286</c:v>
                </c:pt>
                <c:pt idx="3">
                  <c:v>-0.33825490367490613</c:v>
                </c:pt>
                <c:pt idx="4">
                  <c:v>-3.1350303706676089E-2</c:v>
                </c:pt>
                <c:pt idx="5">
                  <c:v>-0.38083210598018152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78-4155-B7F1-F01A74908411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data'!$C$28:$E$28</c:f>
              <c:numCache>
                <c:formatCode>General</c:formatCode>
                <c:ptCount val="3"/>
                <c:pt idx="0">
                  <c:v>-9.4074685218312731E-3</c:v>
                </c:pt>
                <c:pt idx="1">
                  <c:v>-0.29486968695916294</c:v>
                </c:pt>
                <c:pt idx="2">
                  <c:v>-0.35024801833416286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78-4155-B7F1-F01A74908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'[2]Raw data'!$B$29</c:f>
          <c:strCache>
            <c:ptCount val="1"/>
            <c:pt idx="0">
              <c:v>AZ14438269-001</c:v>
            </c:pt>
          </c:strCache>
        </c:strRef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data'!$C$29:$H$29</c:f>
              <c:numCache>
                <c:formatCode>General</c:formatCode>
                <c:ptCount val="6"/>
                <c:pt idx="0">
                  <c:v>0.898803510470922</c:v>
                </c:pt>
                <c:pt idx="1">
                  <c:v>0.49757132896107648</c:v>
                </c:pt>
                <c:pt idx="2">
                  <c:v>0.2281619519970729</c:v>
                </c:pt>
                <c:pt idx="3">
                  <c:v>1.2987786149530967E-2</c:v>
                </c:pt>
                <c:pt idx="4">
                  <c:v>-8.1670046451319631E-2</c:v>
                </c:pt>
                <c:pt idx="5">
                  <c:v>0.43222460583212341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EE-4524-9E77-F0C899F94385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data'!$C$29:$E$29</c:f>
              <c:numCache>
                <c:formatCode>General</c:formatCode>
                <c:ptCount val="3"/>
                <c:pt idx="0">
                  <c:v>0.898803510470922</c:v>
                </c:pt>
                <c:pt idx="1">
                  <c:v>0.49757132896107648</c:v>
                </c:pt>
                <c:pt idx="2">
                  <c:v>0.2281619519970729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EE-4524-9E77-F0C899F94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data'!$C$30:$H$30</c:f>
              <c:numCache>
                <c:formatCode>General</c:formatCode>
                <c:ptCount val="6"/>
                <c:pt idx="0">
                  <c:v>1.1164416975393117</c:v>
                </c:pt>
                <c:pt idx="1">
                  <c:v>0.70252285114071888</c:v>
                </c:pt>
                <c:pt idx="2">
                  <c:v>0.44158292934067339</c:v>
                </c:pt>
                <c:pt idx="3">
                  <c:v>0.190831749442466</c:v>
                </c:pt>
                <c:pt idx="4">
                  <c:v>5.6632651714961804E-2</c:v>
                </c:pt>
                <c:pt idx="5">
                  <c:v>0.12918331886357359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97-4146-93A2-E374058A8BD9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data'!$C$30:$E$30</c:f>
              <c:numCache>
                <c:formatCode>General</c:formatCode>
                <c:ptCount val="3"/>
                <c:pt idx="0">
                  <c:v>1.1164416975393117</c:v>
                </c:pt>
                <c:pt idx="1">
                  <c:v>0.70252285114071888</c:v>
                </c:pt>
                <c:pt idx="2">
                  <c:v>0.44158292934067339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97-4146-93A2-E374058A8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data'!$C$32:$H$32</c:f>
              <c:numCache>
                <c:formatCode>General</c:formatCode>
                <c:ptCount val="6"/>
                <c:pt idx="0">
                  <c:v>0.71823469542759144</c:v>
                </c:pt>
                <c:pt idx="1">
                  <c:v>0.27465258387032737</c:v>
                </c:pt>
                <c:pt idx="2">
                  <c:v>2.5598417974992953E-2</c:v>
                </c:pt>
                <c:pt idx="3">
                  <c:v>-0.17415675927848159</c:v>
                </c:pt>
                <c:pt idx="4">
                  <c:v>-0.22704994330216421</c:v>
                </c:pt>
                <c:pt idx="5">
                  <c:v>0.24037092987241507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58-4945-9EB6-7BEFFD40F22E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data'!$C$32:$E$32</c:f>
              <c:numCache>
                <c:formatCode>General</c:formatCode>
                <c:ptCount val="3"/>
                <c:pt idx="0">
                  <c:v>0.71823469542759144</c:v>
                </c:pt>
                <c:pt idx="1">
                  <c:v>0.27465258387032737</c:v>
                </c:pt>
                <c:pt idx="2">
                  <c:v>2.5598417974992953E-2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58-4945-9EB6-7BEFFD40F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data'!$C$33:$H$33</c:f>
              <c:numCache>
                <c:formatCode>General</c:formatCode>
                <c:ptCount val="6"/>
                <c:pt idx="0">
                  <c:v>0.62195482004490155</c:v>
                </c:pt>
                <c:pt idx="1">
                  <c:v>0.25998615700022593</c:v>
                </c:pt>
                <c:pt idx="2">
                  <c:v>2.705823273403583E-2</c:v>
                </c:pt>
                <c:pt idx="3">
                  <c:v>-0.15159093137974036</c:v>
                </c:pt>
                <c:pt idx="4">
                  <c:v>-0.1930935784278813</c:v>
                </c:pt>
                <c:pt idx="5">
                  <c:v>4.1392685158224904E-2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40-4E99-9087-8E6DF1D96C20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data'!$C$33:$E$33</c:f>
              <c:numCache>
                <c:formatCode>General</c:formatCode>
                <c:ptCount val="3"/>
                <c:pt idx="0">
                  <c:v>0.62195482004490155</c:v>
                </c:pt>
                <c:pt idx="1">
                  <c:v>0.25998615700022593</c:v>
                </c:pt>
                <c:pt idx="2">
                  <c:v>2.705823273403583E-2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40-4E99-9087-8E6DF1D96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data'!$C$35:$H$35</c:f>
              <c:numCache>
                <c:formatCode>General</c:formatCode>
                <c:ptCount val="6"/>
                <c:pt idx="0">
                  <c:v>1.5924543505545048</c:v>
                </c:pt>
                <c:pt idx="1">
                  <c:v>1.1787200746992352</c:v>
                </c:pt>
                <c:pt idx="2">
                  <c:v>0.77724552642261957</c:v>
                </c:pt>
                <c:pt idx="3">
                  <c:v>0.55435934548128507</c:v>
                </c:pt>
                <c:pt idx="4">
                  <c:v>0.35458858787724085</c:v>
                </c:pt>
                <c:pt idx="5">
                  <c:v>0.91963835194451071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2C-42BB-B9C6-D92082A3A8A0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data'!$C$35:$E$35</c:f>
              <c:numCache>
                <c:formatCode>General</c:formatCode>
                <c:ptCount val="3"/>
                <c:pt idx="0">
                  <c:v>1.5924543505545048</c:v>
                </c:pt>
                <c:pt idx="1">
                  <c:v>1.1787200746992352</c:v>
                </c:pt>
                <c:pt idx="2">
                  <c:v>0.77724552642261957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2C-42BB-B9C6-D92082A3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data'!$C$32:$H$32</c:f>
              <c:numCache>
                <c:formatCode>General</c:formatCode>
                <c:ptCount val="6"/>
                <c:pt idx="0">
                  <c:v>0.71823469542759144</c:v>
                </c:pt>
                <c:pt idx="1">
                  <c:v>0.27465258387032737</c:v>
                </c:pt>
                <c:pt idx="2">
                  <c:v>2.5598417974992953E-2</c:v>
                </c:pt>
                <c:pt idx="3">
                  <c:v>-0.17415675927848159</c:v>
                </c:pt>
                <c:pt idx="4">
                  <c:v>-0.22704994330216421</c:v>
                </c:pt>
                <c:pt idx="5">
                  <c:v>0.24037092987241507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7F-48B9-80CF-2C0EDD68A0D1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data'!$C$32:$E$32</c:f>
              <c:numCache>
                <c:formatCode>General</c:formatCode>
                <c:ptCount val="3"/>
                <c:pt idx="0">
                  <c:v>0.71823469542759144</c:v>
                </c:pt>
                <c:pt idx="1">
                  <c:v>0.27465258387032737</c:v>
                </c:pt>
                <c:pt idx="2">
                  <c:v>2.5598417974992953E-2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7F-48B9-80CF-2C0EDD68A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data'!$C$33:$H$33</c:f>
              <c:numCache>
                <c:formatCode>General</c:formatCode>
                <c:ptCount val="6"/>
                <c:pt idx="0">
                  <c:v>0.62195482004490155</c:v>
                </c:pt>
                <c:pt idx="1">
                  <c:v>0.25998615700022593</c:v>
                </c:pt>
                <c:pt idx="2">
                  <c:v>2.705823273403583E-2</c:v>
                </c:pt>
                <c:pt idx="3">
                  <c:v>-0.15159093137974036</c:v>
                </c:pt>
                <c:pt idx="4">
                  <c:v>-0.1930935784278813</c:v>
                </c:pt>
                <c:pt idx="5">
                  <c:v>4.1392685158224904E-2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BD-4204-9DD5-AC4FB68EF45D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data'!$C$33:$E$33</c:f>
              <c:numCache>
                <c:formatCode>General</c:formatCode>
                <c:ptCount val="3"/>
                <c:pt idx="0">
                  <c:v>0.62195482004490155</c:v>
                </c:pt>
                <c:pt idx="1">
                  <c:v>0.25998615700022593</c:v>
                </c:pt>
                <c:pt idx="2">
                  <c:v>2.705823273403583E-2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BD-4204-9DD5-AC4FB68EF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data'!$C$4:$H$4</c:f>
              <c:numCache>
                <c:formatCode>General</c:formatCode>
                <c:ptCount val="6"/>
                <c:pt idx="0">
                  <c:v>1.56029173672943</c:v>
                </c:pt>
                <c:pt idx="1">
                  <c:v>1.0893661730266124</c:v>
                </c:pt>
                <c:pt idx="2">
                  <c:v>0.73982701939006579</c:v>
                </c:pt>
                <c:pt idx="3">
                  <c:v>0.47490734432513282</c:v>
                </c:pt>
                <c:pt idx="4">
                  <c:v>0.223904932945484</c:v>
                </c:pt>
                <c:pt idx="5">
                  <c:v>0.41695062707627512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DD-4983-A6B1-819CB56FE52B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data'!$C$4:$E$4</c:f>
              <c:numCache>
                <c:formatCode>General</c:formatCode>
                <c:ptCount val="3"/>
                <c:pt idx="0">
                  <c:v>1.56029173672943</c:v>
                </c:pt>
                <c:pt idx="1">
                  <c:v>1.0893661730266124</c:v>
                </c:pt>
                <c:pt idx="2">
                  <c:v>0.73982701939006579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DD-4983-A6B1-819CB56FE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data'!$C$5:$H$5</c:f>
              <c:numCache>
                <c:formatCode>General</c:formatCode>
                <c:ptCount val="6"/>
                <c:pt idx="0">
                  <c:v>1.0201364634466716</c:v>
                </c:pt>
                <c:pt idx="1">
                  <c:v>0.55834240344630703</c:v>
                </c:pt>
                <c:pt idx="2">
                  <c:v>0.25486337225919647</c:v>
                </c:pt>
                <c:pt idx="3">
                  <c:v>1.6608462876270914E-2</c:v>
                </c:pt>
                <c:pt idx="4">
                  <c:v>-0.11284061498503181</c:v>
                </c:pt>
                <c:pt idx="5">
                  <c:v>-2.2139103945296307E-3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46-498A-A356-45CE8A342EAE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data'!$C$5:$E$5</c:f>
              <c:numCache>
                <c:formatCode>General</c:formatCode>
                <c:ptCount val="3"/>
                <c:pt idx="0">
                  <c:v>1.0201364634466716</c:v>
                </c:pt>
                <c:pt idx="1">
                  <c:v>0.55834240344630703</c:v>
                </c:pt>
                <c:pt idx="2">
                  <c:v>0.25486337225919647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46-498A-A356-45CE8A342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data'!$C$6:$H$6</c:f>
              <c:numCache>
                <c:formatCode>General</c:formatCode>
                <c:ptCount val="6"/>
                <c:pt idx="0">
                  <c:v>0.63958777456820237</c:v>
                </c:pt>
                <c:pt idx="1">
                  <c:v>0.23001570988908285</c:v>
                </c:pt>
                <c:pt idx="2">
                  <c:v>-1.6503675931125353E-2</c:v>
                </c:pt>
                <c:pt idx="3">
                  <c:v>-0.18426470697038921</c:v>
                </c:pt>
                <c:pt idx="4">
                  <c:v>-0.25630425898185799</c:v>
                </c:pt>
                <c:pt idx="5">
                  <c:v>-6.3281835544207701E-2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D1-4A22-B8E7-1EEAED1397E3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data'!$C$6:$E$6</c:f>
              <c:numCache>
                <c:formatCode>General</c:formatCode>
                <c:ptCount val="3"/>
                <c:pt idx="0">
                  <c:v>0.63958777456820237</c:v>
                </c:pt>
                <c:pt idx="1">
                  <c:v>0.23001570988908285</c:v>
                </c:pt>
                <c:pt idx="2">
                  <c:v>-1.6503675931125353E-2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D1-4A22-B8E7-1EEAED139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data'!$C$9:$H$9</c:f>
              <c:numCache>
                <c:formatCode>General</c:formatCode>
                <c:ptCount val="6"/>
                <c:pt idx="0">
                  <c:v>-0.41674357249474331</c:v>
                </c:pt>
                <c:pt idx="1">
                  <c:v>-0.80706418429658855</c:v>
                </c:pt>
                <c:pt idx="2">
                  <c:v>-1.0896107742665566</c:v>
                </c:pt>
                <c:pt idx="3">
                  <c:v>-0.82636933949197511</c:v>
                </c:pt>
                <c:pt idx="4">
                  <c:v>-0.51799898066225092</c:v>
                </c:pt>
                <c:pt idx="5">
                  <c:v>-1.5404030902638699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7A-4A74-A060-314006705312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data'!$C$9:$E$9</c:f>
              <c:numCache>
                <c:formatCode>General</c:formatCode>
                <c:ptCount val="3"/>
                <c:pt idx="0">
                  <c:v>-0.41674357249474331</c:v>
                </c:pt>
                <c:pt idx="1">
                  <c:v>-0.80706418429658855</c:v>
                </c:pt>
                <c:pt idx="2">
                  <c:v>-1.0896107742665566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7A-4A74-A060-314006705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data'!$C$11:$H$11</c:f>
              <c:numCache>
                <c:formatCode>General</c:formatCode>
                <c:ptCount val="6"/>
                <c:pt idx="0">
                  <c:v>-0.13037057467172236</c:v>
                </c:pt>
                <c:pt idx="1">
                  <c:v>-0.385245738043832</c:v>
                </c:pt>
                <c:pt idx="2">
                  <c:v>-0.44656955634445133</c:v>
                </c:pt>
                <c:pt idx="3">
                  <c:v>-0.4763857854805511</c:v>
                </c:pt>
                <c:pt idx="4">
                  <c:v>-0.364311831208189</c:v>
                </c:pt>
                <c:pt idx="5">
                  <c:v>0.30796717145670444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E7-4B5B-B97D-6A1BD4FB0BA4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data'!$C$11:$E$11</c:f>
              <c:numCache>
                <c:formatCode>General</c:formatCode>
                <c:ptCount val="3"/>
                <c:pt idx="0">
                  <c:v>-0.13037057467172236</c:v>
                </c:pt>
                <c:pt idx="1">
                  <c:v>-0.385245738043832</c:v>
                </c:pt>
                <c:pt idx="2">
                  <c:v>-0.44656955634445133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E7-4B5B-B97D-6A1BD4FB0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data'!$C$12:$H$12</c:f>
              <c:numCache>
                <c:formatCode>General</c:formatCode>
                <c:ptCount val="6"/>
                <c:pt idx="0">
                  <c:v>8.0224603605954427E-3</c:v>
                </c:pt>
                <c:pt idx="1">
                  <c:v>-0.26434697923727207</c:v>
                </c:pt>
                <c:pt idx="2">
                  <c:v>-0.4053640267512445</c:v>
                </c:pt>
                <c:pt idx="3">
                  <c:v>-0.44247240820340628</c:v>
                </c:pt>
                <c:pt idx="4">
                  <c:v>-0.28371363616495759</c:v>
                </c:pt>
                <c:pt idx="5">
                  <c:v>0.65419286290924472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C4-4F8F-9C46-A2CB14125170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data'!$C$12:$E$12</c:f>
              <c:numCache>
                <c:formatCode>General</c:formatCode>
                <c:ptCount val="3"/>
                <c:pt idx="0">
                  <c:v>8.0224603605954427E-3</c:v>
                </c:pt>
                <c:pt idx="1">
                  <c:v>-0.26434697923727207</c:v>
                </c:pt>
                <c:pt idx="2">
                  <c:v>-0.4053640267512445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C4-4F8F-9C46-A2CB14125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data'!$C$13:$H$13</c:f>
              <c:numCache>
                <c:formatCode>General</c:formatCode>
                <c:ptCount val="6"/>
                <c:pt idx="0">
                  <c:v>1.5978252837706415</c:v>
                </c:pt>
                <c:pt idx="1">
                  <c:v>1.203244992151987</c:v>
                </c:pt>
                <c:pt idx="2">
                  <c:v>0.87378349212600881</c:v>
                </c:pt>
                <c:pt idx="3">
                  <c:v>0.58152348335837589</c:v>
                </c:pt>
                <c:pt idx="4">
                  <c:v>0.35754725707566226</c:v>
                </c:pt>
                <c:pt idx="5">
                  <c:v>0.8856295041483544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13-4255-B297-DDCF04206E85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data'!$C$13:$E$13</c:f>
              <c:numCache>
                <c:formatCode>General</c:formatCode>
                <c:ptCount val="3"/>
                <c:pt idx="0">
                  <c:v>1.5978252837706415</c:v>
                </c:pt>
                <c:pt idx="1">
                  <c:v>1.203244992151987</c:v>
                </c:pt>
                <c:pt idx="2">
                  <c:v>0.87378349212600881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13-4255-B297-DDCF04206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data'!$C$14:$H$14</c:f>
              <c:numCache>
                <c:formatCode>General</c:formatCode>
                <c:ptCount val="6"/>
                <c:pt idx="0">
                  <c:v>1.378951926584878</c:v>
                </c:pt>
                <c:pt idx="1">
                  <c:v>0.91183446660762402</c:v>
                </c:pt>
                <c:pt idx="2">
                  <c:v>0.54574729045171666</c:v>
                </c:pt>
                <c:pt idx="3">
                  <c:v>0.31763845854025202</c:v>
                </c:pt>
                <c:pt idx="4">
                  <c:v>9.0682399216893653E-2</c:v>
                </c:pt>
                <c:pt idx="5">
                  <c:v>0.10304958622231725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55-4A7F-98AA-DCD82CF070BB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data'!$C$14:$E$14</c:f>
              <c:numCache>
                <c:formatCode>General</c:formatCode>
                <c:ptCount val="3"/>
                <c:pt idx="0">
                  <c:v>1.378951926584878</c:v>
                </c:pt>
                <c:pt idx="1">
                  <c:v>0.91183446660762402</c:v>
                </c:pt>
                <c:pt idx="2">
                  <c:v>0.54574729045171666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55-4A7F-98AA-DCD82CF07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49848271484956"/>
          <c:y val="6.2759035854463144E-2"/>
          <c:w val="0.79666104709203545"/>
          <c:h val="0.74585614871535555"/>
        </c:manualLayout>
      </c:layout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data'!$C$15:$H$15</c:f>
              <c:numCache>
                <c:formatCode>General</c:formatCode>
                <c:ptCount val="6"/>
                <c:pt idx="0">
                  <c:v>-1.1273993351559564</c:v>
                </c:pt>
                <c:pt idx="1">
                  <c:v>0.86372601121174386</c:v>
                </c:pt>
                <c:pt idx="2">
                  <c:v>0.51605334133023073</c:v>
                </c:pt>
                <c:pt idx="3">
                  <c:v>0.18339049779718072</c:v>
                </c:pt>
                <c:pt idx="4">
                  <c:v>-5.3181508639881907E-2</c:v>
                </c:pt>
                <c:pt idx="5">
                  <c:v>-0.16232597806495005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63-4606-AD17-4A617F52E137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data'!$C$15:$E$15</c:f>
              <c:numCache>
                <c:formatCode>General</c:formatCode>
                <c:ptCount val="3"/>
                <c:pt idx="0">
                  <c:v>-1.1273993351559564</c:v>
                </c:pt>
                <c:pt idx="1">
                  <c:v>0.86372601121174386</c:v>
                </c:pt>
                <c:pt idx="2">
                  <c:v>0.51605334133023073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63-4606-AD17-4A617F52E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data'!$C$17:$H$17</c:f>
              <c:numCache>
                <c:formatCode>General</c:formatCode>
                <c:ptCount val="6"/>
                <c:pt idx="0">
                  <c:v>1.1821340535549114</c:v>
                </c:pt>
                <c:pt idx="1">
                  <c:v>0.79922369367946</c:v>
                </c:pt>
                <c:pt idx="2">
                  <c:v>0.55773143807205783</c:v>
                </c:pt>
                <c:pt idx="3">
                  <c:v>0.36268689672807336</c:v>
                </c:pt>
                <c:pt idx="4">
                  <c:v>0.25033728742779382</c:v>
                </c:pt>
                <c:pt idx="5">
                  <c:v>0.75857834272484181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E5-4E1D-A205-226D1A26B06D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data'!$C$17:$E$17</c:f>
              <c:numCache>
                <c:formatCode>General</c:formatCode>
                <c:ptCount val="3"/>
                <c:pt idx="0">
                  <c:v>1.1821340535549114</c:v>
                </c:pt>
                <c:pt idx="1">
                  <c:v>0.79922369367946</c:v>
                </c:pt>
                <c:pt idx="2">
                  <c:v>0.55773143807205783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E5-4E1D-A205-226D1A26B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data'!$C$18:$H$18</c:f>
              <c:numCache>
                <c:formatCode>General</c:formatCode>
                <c:ptCount val="6"/>
                <c:pt idx="0">
                  <c:v>-0.47859594028566793</c:v>
                </c:pt>
                <c:pt idx="1">
                  <c:v>-0.81181061932105014</c:v>
                </c:pt>
                <c:pt idx="2">
                  <c:v>-0.90162029191116766</c:v>
                </c:pt>
                <c:pt idx="3">
                  <c:v>-0.81181061932105014</c:v>
                </c:pt>
                <c:pt idx="4">
                  <c:v>-0.47418682138061291</c:v>
                </c:pt>
                <c:pt idx="5">
                  <c:v>-1.4920984106893147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B4-41A5-A0B2-6EF4F811BBAE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data'!$C$18:$E$18</c:f>
              <c:numCache>
                <c:formatCode>General</c:formatCode>
                <c:ptCount val="3"/>
                <c:pt idx="0">
                  <c:v>-0.47859594028566793</c:v>
                </c:pt>
                <c:pt idx="1">
                  <c:v>-0.81181061932105014</c:v>
                </c:pt>
                <c:pt idx="2">
                  <c:v>-0.90162029191116766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B4-41A5-A0B2-6EF4F811B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data'!$C$19:$H$19</c:f>
              <c:numCache>
                <c:formatCode>General</c:formatCode>
                <c:ptCount val="6"/>
                <c:pt idx="0">
                  <c:v>-0.1633969884274756</c:v>
                </c:pt>
                <c:pt idx="1">
                  <c:v>-0.4343922777936145</c:v>
                </c:pt>
                <c:pt idx="2">
                  <c:v>-0.44656955634445133</c:v>
                </c:pt>
                <c:pt idx="3">
                  <c:v>-0.48081740027962605</c:v>
                </c:pt>
                <c:pt idx="4">
                  <c:v>-0.29663574756588884</c:v>
                </c:pt>
                <c:pt idx="5">
                  <c:v>0.75315443391522841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5C-431D-A3A0-330C1FA560FA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data'!$C$19:$E$19</c:f>
              <c:numCache>
                <c:formatCode>General</c:formatCode>
                <c:ptCount val="3"/>
                <c:pt idx="0">
                  <c:v>-0.1633969884274756</c:v>
                </c:pt>
                <c:pt idx="1">
                  <c:v>-0.4343922777936145</c:v>
                </c:pt>
                <c:pt idx="2">
                  <c:v>-0.44656955634445133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5C-431D-A3A0-330C1FA56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data'!$C$20:$H$20</c:f>
              <c:numCache>
                <c:formatCode>General</c:formatCode>
                <c:ptCount val="6"/>
                <c:pt idx="0">
                  <c:v>-0.37291200297010657</c:v>
                </c:pt>
                <c:pt idx="1">
                  <c:v>-0.73342551370152065</c:v>
                </c:pt>
                <c:pt idx="2">
                  <c:v>-0.99270076125850015</c:v>
                </c:pt>
                <c:pt idx="3">
                  <c:v>-0.77962593594964946</c:v>
                </c:pt>
                <c:pt idx="4">
                  <c:v>-0.74966271257220618</c:v>
                </c:pt>
                <c:pt idx="5">
                  <c:v>0.5451183338147737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CA-440F-BA57-4A5F9DA668B7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data'!$C$20:$E$20</c:f>
              <c:numCache>
                <c:formatCode>General</c:formatCode>
                <c:ptCount val="3"/>
                <c:pt idx="0">
                  <c:v>-0.37291200297010657</c:v>
                </c:pt>
                <c:pt idx="1">
                  <c:v>-0.73342551370152065</c:v>
                </c:pt>
                <c:pt idx="2">
                  <c:v>-0.99270076125850015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CA-440F-BA57-4A5F9DA66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data'!$C$21:$H$21</c:f>
              <c:numCache>
                <c:formatCode>General</c:formatCode>
                <c:ptCount val="6"/>
                <c:pt idx="0">
                  <c:v>0.81064253064875513</c:v>
                </c:pt>
                <c:pt idx="1">
                  <c:v>0.34409240407044051</c:v>
                </c:pt>
                <c:pt idx="2">
                  <c:v>-2.8126880337445884E-2</c:v>
                </c:pt>
                <c:pt idx="3">
                  <c:v>-0.24322211077080541</c:v>
                </c:pt>
                <c:pt idx="4">
                  <c:v>-0.42254714859398351</c:v>
                </c:pt>
                <c:pt idx="5">
                  <c:v>-0.49901040510564509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C8-409D-9739-D9498FFC4DF3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data'!$C$21:$E$21</c:f>
              <c:numCache>
                <c:formatCode>General</c:formatCode>
                <c:ptCount val="3"/>
                <c:pt idx="0">
                  <c:v>0.81064253064875513</c:v>
                </c:pt>
                <c:pt idx="1">
                  <c:v>0.34409240407044051</c:v>
                </c:pt>
                <c:pt idx="2">
                  <c:v>-2.8126880337445884E-2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C8-409D-9739-D9498FFC4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data'!$C$22:$H$22</c:f>
              <c:numCache>
                <c:formatCode>General</c:formatCode>
                <c:ptCount val="6"/>
                <c:pt idx="0">
                  <c:v>1.068248771065009</c:v>
                </c:pt>
                <c:pt idx="1">
                  <c:v>-0.24193531136448931</c:v>
                </c:pt>
                <c:pt idx="2">
                  <c:v>-0.33151931781188149</c:v>
                </c:pt>
                <c:pt idx="3">
                  <c:v>-0.3129701149081518</c:v>
                </c:pt>
                <c:pt idx="4">
                  <c:v>1.3765280990731278E-2</c:v>
                </c:pt>
                <c:pt idx="5">
                  <c:v>-1.0806559316136302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C1-4020-9ECB-5FAFBE959633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data'!$C$22:$E$22</c:f>
              <c:numCache>
                <c:formatCode>General</c:formatCode>
                <c:ptCount val="3"/>
                <c:pt idx="0">
                  <c:v>1.068248771065009</c:v>
                </c:pt>
                <c:pt idx="1">
                  <c:v>-0.24193531136448931</c:v>
                </c:pt>
                <c:pt idx="2">
                  <c:v>-0.33151931781188149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C1-4020-9ECB-5FAFBE959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data'!$C$23:$H$23</c:f>
              <c:numCache>
                <c:formatCode>General</c:formatCode>
                <c:ptCount val="6"/>
                <c:pt idx="0">
                  <c:v>1.4250753019550804</c:v>
                </c:pt>
                <c:pt idx="1">
                  <c:v>0.87672654257031102</c:v>
                </c:pt>
                <c:pt idx="2">
                  <c:v>0.50652796302511049</c:v>
                </c:pt>
                <c:pt idx="3">
                  <c:v>0.24240665364137243</c:v>
                </c:pt>
                <c:pt idx="4">
                  <c:v>2.8488537811437533E-2</c:v>
                </c:pt>
                <c:pt idx="5">
                  <c:v>-2.3440203755720819E-2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0E-47DD-BD5A-C5CEA0254E77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data'!$C$23:$E$23</c:f>
              <c:numCache>
                <c:formatCode>General</c:formatCode>
                <c:ptCount val="3"/>
                <c:pt idx="0">
                  <c:v>1.4250753019550804</c:v>
                </c:pt>
                <c:pt idx="1">
                  <c:v>0.87672654257031102</c:v>
                </c:pt>
                <c:pt idx="2">
                  <c:v>0.50652796302511049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0E-47DD-BD5A-C5CEA0254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data'!$C$24:$H$24</c:f>
              <c:numCache>
                <c:formatCode>General</c:formatCode>
                <c:ptCount val="6"/>
                <c:pt idx="0">
                  <c:v>1.4391185050671993</c:v>
                </c:pt>
                <c:pt idx="1">
                  <c:v>0.97359744580465435</c:v>
                </c:pt>
                <c:pt idx="2">
                  <c:v>0.67816330470564223</c:v>
                </c:pt>
                <c:pt idx="3">
                  <c:v>0.44106907266636519</c:v>
                </c:pt>
                <c:pt idx="4">
                  <c:v>0.29621884440322593</c:v>
                </c:pt>
                <c:pt idx="5">
                  <c:v>-1.4920984106893147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3C-4F25-8DD0-01EB728F499D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data'!$C$24:$E$24</c:f>
              <c:numCache>
                <c:formatCode>General</c:formatCode>
                <c:ptCount val="3"/>
                <c:pt idx="0">
                  <c:v>1.4391185050671993</c:v>
                </c:pt>
                <c:pt idx="1">
                  <c:v>0.97359744580465435</c:v>
                </c:pt>
                <c:pt idx="2">
                  <c:v>0.67816330470564223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3C-4F25-8DD0-01EB728F4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data'!$C$26:$H$26</c:f>
              <c:numCache>
                <c:formatCode>General</c:formatCode>
                <c:ptCount val="6"/>
                <c:pt idx="0">
                  <c:v>1.0692540828146135</c:v>
                </c:pt>
                <c:pt idx="1">
                  <c:v>0.66243767355288163</c:v>
                </c:pt>
                <c:pt idx="2">
                  <c:v>0.35299962932494167</c:v>
                </c:pt>
                <c:pt idx="3">
                  <c:v>0.22037406405035073</c:v>
                </c:pt>
                <c:pt idx="4">
                  <c:v>0.24784848702409917</c:v>
                </c:pt>
                <c:pt idx="5">
                  <c:v>1.1708581372995022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E3-40A8-B810-30BFBBA79B82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data'!$C$26:$E$26</c:f>
              <c:numCache>
                <c:formatCode>General</c:formatCode>
                <c:ptCount val="3"/>
                <c:pt idx="0">
                  <c:v>1.0692540828146135</c:v>
                </c:pt>
                <c:pt idx="1">
                  <c:v>0.66243767355288163</c:v>
                </c:pt>
                <c:pt idx="2">
                  <c:v>0.35299962932494167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E3-40A8-B810-30BFBBA79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data'!$C$27:$H$27</c:f>
              <c:numCache>
                <c:formatCode>General</c:formatCode>
                <c:ptCount val="6"/>
                <c:pt idx="0">
                  <c:v>-0.42449903719150534</c:v>
                </c:pt>
                <c:pt idx="1">
                  <c:v>-0.84657272558026209</c:v>
                </c:pt>
                <c:pt idx="2">
                  <c:v>-1.1373835560625571</c:v>
                </c:pt>
                <c:pt idx="3">
                  <c:v>-0.86776202465020014</c:v>
                </c:pt>
                <c:pt idx="4">
                  <c:v>-0.50603418863260763</c:v>
                </c:pt>
                <c:pt idx="5">
                  <c:v>-1.2794903178078711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C8-4653-98BB-D0C0898E1072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data'!$C$27:$E$27</c:f>
              <c:numCache>
                <c:formatCode>General</c:formatCode>
                <c:ptCount val="3"/>
                <c:pt idx="0">
                  <c:v>-0.42449903719150534</c:v>
                </c:pt>
                <c:pt idx="1">
                  <c:v>-0.84657272558026209</c:v>
                </c:pt>
                <c:pt idx="2">
                  <c:v>-1.1373835560625571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C8-4653-98BB-D0C0898E1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data'!$C$28:$H$28</c:f>
              <c:numCache>
                <c:formatCode>General</c:formatCode>
                <c:ptCount val="6"/>
                <c:pt idx="0">
                  <c:v>-0.4186694935307817</c:v>
                </c:pt>
                <c:pt idx="1">
                  <c:v>-0.76653063785950171</c:v>
                </c:pt>
                <c:pt idx="2">
                  <c:v>-0.99999999999999967</c:v>
                </c:pt>
                <c:pt idx="3">
                  <c:v>-0.80236906308820866</c:v>
                </c:pt>
                <c:pt idx="4">
                  <c:v>-0.44656955634445133</c:v>
                </c:pt>
                <c:pt idx="5">
                  <c:v>-1.5404030902638699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1E-4F57-8154-0DA04D4F76F0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data'!$C$28:$E$28</c:f>
              <c:numCache>
                <c:formatCode>General</c:formatCode>
                <c:ptCount val="3"/>
                <c:pt idx="0">
                  <c:v>-0.4186694935307817</c:v>
                </c:pt>
                <c:pt idx="1">
                  <c:v>-0.76653063785950171</c:v>
                </c:pt>
                <c:pt idx="2">
                  <c:v>-0.99999999999999967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1E-4F57-8154-0DA04D4F7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data'!$C$29:$H$29</c:f>
              <c:numCache>
                <c:formatCode>General</c:formatCode>
                <c:ptCount val="6"/>
                <c:pt idx="0">
                  <c:v>-0.29228551604830078</c:v>
                </c:pt>
                <c:pt idx="1">
                  <c:v>-0.68449218096739595</c:v>
                </c:pt>
                <c:pt idx="2">
                  <c:v>-0.85177391926606982</c:v>
                </c:pt>
                <c:pt idx="3">
                  <c:v>-0.77962593594964946</c:v>
                </c:pt>
                <c:pt idx="4">
                  <c:v>-0.4763857854805511</c:v>
                </c:pt>
                <c:pt idx="5">
                  <c:v>-1.3394882474831564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98-451A-9618-3E876414BEA1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data'!$C$29:$E$29</c:f>
              <c:numCache>
                <c:formatCode>General</c:formatCode>
                <c:ptCount val="3"/>
                <c:pt idx="0">
                  <c:v>-0.29228551604830078</c:v>
                </c:pt>
                <c:pt idx="1">
                  <c:v>-0.68449218096739595</c:v>
                </c:pt>
                <c:pt idx="2">
                  <c:v>-0.85177391926606982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98-451A-9618-3E876414B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data'!$C$31:$H$31</c:f>
              <c:numCache>
                <c:formatCode>General</c:formatCode>
                <c:ptCount val="6"/>
                <c:pt idx="0">
                  <c:v>0.9188119533736262</c:v>
                </c:pt>
                <c:pt idx="1">
                  <c:v>0.4450498015618875</c:v>
                </c:pt>
                <c:pt idx="2">
                  <c:v>5.9094684299491794E-2</c:v>
                </c:pt>
                <c:pt idx="3">
                  <c:v>-0.18539128213364348</c:v>
                </c:pt>
                <c:pt idx="4">
                  <c:v>-0.36091888831084962</c:v>
                </c:pt>
                <c:pt idx="5">
                  <c:v>-0.43040789680202568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29-4B18-9E14-AB192C01E7F4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data'!$C$31:$E$31</c:f>
              <c:numCache>
                <c:formatCode>General</c:formatCode>
                <c:ptCount val="3"/>
                <c:pt idx="0">
                  <c:v>0.9188119533736262</c:v>
                </c:pt>
                <c:pt idx="1">
                  <c:v>0.4450498015618875</c:v>
                </c:pt>
                <c:pt idx="2">
                  <c:v>5.9094684299491794E-2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29-4B18-9E14-AB192C01E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data'!$C$32:$H$32</c:f>
              <c:numCache>
                <c:formatCode>General</c:formatCode>
                <c:ptCount val="6"/>
                <c:pt idx="0">
                  <c:v>-0.51078062365706933</c:v>
                </c:pt>
                <c:pt idx="1">
                  <c:v>-0.76653063785950171</c:v>
                </c:pt>
                <c:pt idx="2">
                  <c:v>-0.87322492035170229</c:v>
                </c:pt>
                <c:pt idx="3">
                  <c:v>-0.67743032647990908</c:v>
                </c:pt>
                <c:pt idx="4">
                  <c:v>-0.33310144882175619</c:v>
                </c:pt>
                <c:pt idx="5">
                  <c:v>0.76482179178360588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77-4B1D-BB11-F8968F6EE224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data'!$C$32:$E$32</c:f>
              <c:numCache>
                <c:formatCode>General</c:formatCode>
                <c:ptCount val="3"/>
                <c:pt idx="0">
                  <c:v>-0.51078062365706933</c:v>
                </c:pt>
                <c:pt idx="1">
                  <c:v>-0.76653063785950171</c:v>
                </c:pt>
                <c:pt idx="2">
                  <c:v>-0.87322492035170229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77-4B1D-BB11-F8968F6EE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data'!$C$34:$H$34</c:f>
              <c:numCache>
                <c:formatCode>General</c:formatCode>
                <c:ptCount val="6"/>
                <c:pt idx="0">
                  <c:v>-0.27530767409569562</c:v>
                </c:pt>
                <c:pt idx="1">
                  <c:v>-0.42842933081993778</c:v>
                </c:pt>
                <c:pt idx="2">
                  <c:v>-0.603534676893968</c:v>
                </c:pt>
                <c:pt idx="3">
                  <c:v>-0.45070572553109001</c:v>
                </c:pt>
                <c:pt idx="4">
                  <c:v>-0.18202028604793691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04-49D6-AABC-71E88D930D19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data'!$C$34:$E$34</c:f>
              <c:numCache>
                <c:formatCode>General</c:formatCode>
                <c:ptCount val="3"/>
                <c:pt idx="0">
                  <c:v>-0.27530767409569562</c:v>
                </c:pt>
                <c:pt idx="1">
                  <c:v>-0.42842933081993778</c:v>
                </c:pt>
                <c:pt idx="2">
                  <c:v>-0.603534676893968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04-49D6-AABC-71E88D930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'[1]Raw data'!$B$29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data'!$C$39:$H$39</c:f>
              <c:numCache>
                <c:formatCode>General</c:formatCode>
                <c:ptCount val="6"/>
                <c:pt idx="0">
                  <c:v>0.29659083113423657</c:v>
                </c:pt>
                <c:pt idx="1">
                  <c:v>-0.14553956068047022</c:v>
                </c:pt>
                <c:pt idx="2">
                  <c:v>-0.49901040510564509</c:v>
                </c:pt>
                <c:pt idx="3">
                  <c:v>-0.72552903285548687</c:v>
                </c:pt>
                <c:pt idx="4">
                  <c:v>-0.6535807159863799</c:v>
                </c:pt>
                <c:pt idx="5">
                  <c:v>-0.44043823829295314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C7-492D-A812-9F77B8FBD8BE}"/>
            </c:ext>
          </c:extLst>
        </c:ser>
        <c:ser>
          <c:idx val="1"/>
          <c:order val="1"/>
          <c:tx>
            <c:strRef>
              <c:f>'[1]Raw data'!$B$28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data'!$C$38:$H$38</c:f>
              <c:numCache>
                <c:formatCode>General</c:formatCode>
                <c:ptCount val="6"/>
                <c:pt idx="0">
                  <c:v>0.29659083113423657</c:v>
                </c:pt>
                <c:pt idx="1">
                  <c:v>-0.14553956068047022</c:v>
                </c:pt>
                <c:pt idx="2">
                  <c:v>-0.49901040510564509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1C7-492D-A812-9F77B8FBD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'[1]Raw data'!$B$3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data'!$C$3:$H$3</c:f>
              <c:numCache>
                <c:formatCode>General</c:formatCode>
                <c:ptCount val="6"/>
                <c:pt idx="0">
                  <c:v>0.61760444105812251</c:v>
                </c:pt>
                <c:pt idx="1">
                  <c:v>0.19293581570341109</c:v>
                </c:pt>
                <c:pt idx="2">
                  <c:v>-0.2061859473900548</c:v>
                </c:pt>
                <c:pt idx="3">
                  <c:v>-0.4486327169082247</c:v>
                </c:pt>
                <c:pt idx="4">
                  <c:v>-0.47859594028566793</c:v>
                </c:pt>
                <c:pt idx="5">
                  <c:v>-0.15912870363480236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91-4E21-ABBE-829142C176F6}"/>
            </c:ext>
          </c:extLst>
        </c:ser>
        <c:ser>
          <c:idx val="1"/>
          <c:order val="1"/>
          <c:tx>
            <c:strRef>
              <c:f>'[1]Raw data'!$B$2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data'!$C$2:$H$2</c:f>
              <c:numCache>
                <c:formatCode>General</c:formatCode>
                <c:ptCount val="6"/>
                <c:pt idx="0">
                  <c:v>0.61760444105812251</c:v>
                </c:pt>
                <c:pt idx="1">
                  <c:v>0.19293581570341109</c:v>
                </c:pt>
                <c:pt idx="2">
                  <c:v>-0.2061859473900548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91-4E21-ABBE-829142C17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MeCN%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'[1]Raw data'!$B$29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data'!$C$35:$H$35</c:f>
              <c:numCache>
                <c:formatCode>General</c:formatCode>
                <c:ptCount val="6"/>
                <c:pt idx="0">
                  <c:v>0.14454782357012569</c:v>
                </c:pt>
                <c:pt idx="1">
                  <c:v>-0.2330329165688699</c:v>
                </c:pt>
                <c:pt idx="2">
                  <c:v>-0.4548816661852263</c:v>
                </c:pt>
                <c:pt idx="3">
                  <c:v>-0.46122184421624524</c:v>
                </c:pt>
                <c:pt idx="4">
                  <c:v>-0.13136552237355809</c:v>
                </c:pt>
                <c:pt idx="5">
                  <c:v>-1.3729120029701061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A9-4C1A-8A71-E7CB3EFB285F}"/>
            </c:ext>
          </c:extLst>
        </c:ser>
        <c:ser>
          <c:idx val="1"/>
          <c:order val="1"/>
          <c:tx>
            <c:strRef>
              <c:f>'[1]Raw data'!$B$28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data'!$C$34:$H$34</c:f>
              <c:numCache>
                <c:formatCode>General</c:formatCode>
                <c:ptCount val="6"/>
                <c:pt idx="0">
                  <c:v>0.14454782357012569</c:v>
                </c:pt>
                <c:pt idx="1">
                  <c:v>-0.2330329165688699</c:v>
                </c:pt>
                <c:pt idx="2">
                  <c:v>-0.4548816661852263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A9-4C1A-8A71-E7CB3EFB2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'[1]Raw data'!$B$29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data'!$C$41:$H$41</c:f>
              <c:numCache>
                <c:formatCode>General</c:formatCode>
                <c:ptCount val="6"/>
                <c:pt idx="0">
                  <c:v>-8.2432189639433481E-2</c:v>
                </c:pt>
                <c:pt idx="1">
                  <c:v>-0.43239551803753917</c:v>
                </c:pt>
                <c:pt idx="2">
                  <c:v>-0.65027808043629431</c:v>
                </c:pt>
                <c:pt idx="3">
                  <c:v>-0.58900842369737161</c:v>
                </c:pt>
                <c:pt idx="4">
                  <c:v>-0.19451066143635132</c:v>
                </c:pt>
                <c:pt idx="5">
                  <c:v>-0.79772415804244512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EB-4984-9B78-4BE75D82CBC8}"/>
            </c:ext>
          </c:extLst>
        </c:ser>
        <c:ser>
          <c:idx val="1"/>
          <c:order val="1"/>
          <c:tx>
            <c:strRef>
              <c:f>'[1]Raw data'!$B$28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data'!$C$40:$H$40</c:f>
              <c:numCache>
                <c:formatCode>General</c:formatCode>
                <c:ptCount val="6"/>
                <c:pt idx="0">
                  <c:v>-8.2432189639433481E-2</c:v>
                </c:pt>
                <c:pt idx="1">
                  <c:v>-0.43239551803753917</c:v>
                </c:pt>
                <c:pt idx="2">
                  <c:v>-0.65027808043629431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FEB-4984-9B78-4BE75D82C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'[1]Raw data'!$B$3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data'!$C$27:$H$27</c:f>
              <c:numCache>
                <c:formatCode>General</c:formatCode>
                <c:ptCount val="6"/>
                <c:pt idx="0">
                  <c:v>0.80652488027487035</c:v>
                </c:pt>
                <c:pt idx="1">
                  <c:v>0.34409240407044051</c:v>
                </c:pt>
                <c:pt idx="2">
                  <c:v>1.2336679433113527E-2</c:v>
                </c:pt>
                <c:pt idx="3">
                  <c:v>-0.18878864873043547</c:v>
                </c:pt>
                <c:pt idx="4">
                  <c:v>-0.24322211077080541</c:v>
                </c:pt>
                <c:pt idx="5">
                  <c:v>-8.4215742379850689E-2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14-45D7-9D38-9170897082BE}"/>
            </c:ext>
          </c:extLst>
        </c:ser>
        <c:ser>
          <c:idx val="1"/>
          <c:order val="1"/>
          <c:tx>
            <c:strRef>
              <c:f>'[1]Raw data'!$B$2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data'!$C$26:$H$26</c:f>
              <c:numCache>
                <c:formatCode>General</c:formatCode>
                <c:ptCount val="6"/>
                <c:pt idx="0">
                  <c:v>0.80652488027487035</c:v>
                </c:pt>
                <c:pt idx="1">
                  <c:v>0.34409240407044051</c:v>
                </c:pt>
                <c:pt idx="2">
                  <c:v>1.2336679433113527E-2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14-45D7-9D38-917089708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'[1]Raw data'!$B$3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data'!$C$23:$H$23</c:f>
              <c:numCache>
                <c:formatCode>General</c:formatCode>
                <c:ptCount val="6"/>
                <c:pt idx="0">
                  <c:v>0.48466170117738921</c:v>
                </c:pt>
                <c:pt idx="1">
                  <c:v>4.3395584089776056E-2</c:v>
                </c:pt>
                <c:pt idx="2">
                  <c:v>-0.2406523134390619</c:v>
                </c:pt>
                <c:pt idx="3">
                  <c:v>-0.3997841493704079</c:v>
                </c:pt>
                <c:pt idx="4">
                  <c:v>-0.41674357249474331</c:v>
                </c:pt>
                <c:pt idx="5">
                  <c:v>-0.13236275468750691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C5-4E63-BCD9-7BDBB590D67B}"/>
            </c:ext>
          </c:extLst>
        </c:ser>
        <c:ser>
          <c:idx val="1"/>
          <c:order val="1"/>
          <c:tx>
            <c:strRef>
              <c:f>'[1]Raw data'!$B$2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data'!$C$22:$H$22</c:f>
              <c:numCache>
                <c:formatCode>General</c:formatCode>
                <c:ptCount val="6"/>
                <c:pt idx="0">
                  <c:v>0.48466170117738921</c:v>
                </c:pt>
                <c:pt idx="1">
                  <c:v>4.3395584089776056E-2</c:v>
                </c:pt>
                <c:pt idx="2">
                  <c:v>-0.2406523134390619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C5-4E63-BCD9-7BDBB590D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'[1]Raw data'!$B$29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data'!$C$31:$H$31</c:f>
              <c:numCache>
                <c:formatCode>General</c:formatCode>
                <c:ptCount val="6"/>
                <c:pt idx="0">
                  <c:v>1.4099617641122528</c:v>
                </c:pt>
                <c:pt idx="1">
                  <c:v>0.7946416182267183</c:v>
                </c:pt>
                <c:pt idx="2">
                  <c:v>0.4095606211961797</c:v>
                </c:pt>
                <c:pt idx="3">
                  <c:v>0.14612803567823801</c:v>
                </c:pt>
                <c:pt idx="4">
                  <c:v>-2.1889150385982735E-2</c:v>
                </c:pt>
                <c:pt idx="5">
                  <c:v>0.19104346202570624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7B-4305-A197-6C552486F61F}"/>
            </c:ext>
          </c:extLst>
        </c:ser>
        <c:ser>
          <c:idx val="1"/>
          <c:order val="1"/>
          <c:tx>
            <c:strRef>
              <c:f>'[1]Raw data'!$B$28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data'!$C$30:$H$30</c:f>
              <c:numCache>
                <c:formatCode>General</c:formatCode>
                <c:ptCount val="6"/>
                <c:pt idx="0">
                  <c:v>1.4099617641122528</c:v>
                </c:pt>
                <c:pt idx="1">
                  <c:v>0.7946416182267183</c:v>
                </c:pt>
                <c:pt idx="2">
                  <c:v>0.4095606211961797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7B-4305-A197-6C552486F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'[1]Raw data'!$B$3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data'!$C$21:$H$21</c:f>
              <c:numCache>
                <c:formatCode>General</c:formatCode>
                <c:ptCount val="6"/>
                <c:pt idx="0">
                  <c:v>1.3609590596281982</c:v>
                </c:pt>
                <c:pt idx="1">
                  <c:v>0.73048116700342203</c:v>
                </c:pt>
                <c:pt idx="2">
                  <c:v>0.289468017046141</c:v>
                </c:pt>
                <c:pt idx="3">
                  <c:v>7.2992387414994231E-3</c:v>
                </c:pt>
                <c:pt idx="4">
                  <c:v>-0.15175868101540138</c:v>
                </c:pt>
                <c:pt idx="5">
                  <c:v>-8.1734479147079122E-3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BC-46AD-ACE5-3568547266D0}"/>
            </c:ext>
          </c:extLst>
        </c:ser>
        <c:ser>
          <c:idx val="1"/>
          <c:order val="1"/>
          <c:tx>
            <c:strRef>
              <c:f>'[1]Raw data'!$B$2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data'!$C$20:$H$20</c:f>
              <c:numCache>
                <c:formatCode>General</c:formatCode>
                <c:ptCount val="6"/>
                <c:pt idx="0">
                  <c:v>1.3609590596281982</c:v>
                </c:pt>
                <c:pt idx="1">
                  <c:v>0.73048116700342203</c:v>
                </c:pt>
                <c:pt idx="2">
                  <c:v>0.289468017046141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BC-46AD-ACE5-356854726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'[1]Raw data'!$B$29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data'!$C$37:$H$37</c:f>
              <c:numCache>
                <c:formatCode>General</c:formatCode>
                <c:ptCount val="6"/>
                <c:pt idx="0">
                  <c:v>0.13548303016294647</c:v>
                </c:pt>
                <c:pt idx="1">
                  <c:v>-0.18539128213364348</c:v>
                </c:pt>
                <c:pt idx="2">
                  <c:v>-0.36945147086060004</c:v>
                </c:pt>
                <c:pt idx="3">
                  <c:v>-0.47859594028566793</c:v>
                </c:pt>
                <c:pt idx="4">
                  <c:v>-0.4053640267512445</c:v>
                </c:pt>
                <c:pt idx="5">
                  <c:v>0.19575897503979017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DF-42C8-A9A5-3542DA9C0584}"/>
            </c:ext>
          </c:extLst>
        </c:ser>
        <c:ser>
          <c:idx val="1"/>
          <c:order val="1"/>
          <c:tx>
            <c:strRef>
              <c:f>'[1]Raw data'!$B$28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data'!$C$36:$H$36</c:f>
              <c:numCache>
                <c:formatCode>General</c:formatCode>
                <c:ptCount val="6"/>
                <c:pt idx="0">
                  <c:v>0.13548303016294647</c:v>
                </c:pt>
                <c:pt idx="1">
                  <c:v>-0.18539128213364348</c:v>
                </c:pt>
                <c:pt idx="2">
                  <c:v>-0.36945147086060004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DF-42C8-A9A5-3542DA9C0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data'!$C$10:$H$10</c:f>
              <c:numCache>
                <c:formatCode>General</c:formatCode>
                <c:ptCount val="6"/>
                <c:pt idx="0">
                  <c:v>-0.25102401786642536</c:v>
                </c:pt>
                <c:pt idx="1">
                  <c:v>-0.55074392360208901</c:v>
                </c:pt>
                <c:pt idx="2">
                  <c:v>-0.72552903285548687</c:v>
                </c:pt>
                <c:pt idx="3">
                  <c:v>-0.77085201164214423</c:v>
                </c:pt>
                <c:pt idx="4">
                  <c:v>-0.4852947026343703</c:v>
                </c:pt>
                <c:pt idx="5">
                  <c:v>-1.8166095022028188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FE-46FF-A691-6FD012CE12B1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data'!$C$10:$E$10</c:f>
              <c:numCache>
                <c:formatCode>General</c:formatCode>
                <c:ptCount val="3"/>
                <c:pt idx="0">
                  <c:v>-0.25102401786642536</c:v>
                </c:pt>
                <c:pt idx="1">
                  <c:v>-0.55074392360208901</c:v>
                </c:pt>
                <c:pt idx="2">
                  <c:v>-0.72552903285548687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FE-46FF-A691-6FD012CE1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data'!$C$30:$H$30</c:f>
              <c:numCache>
                <c:formatCode>General</c:formatCode>
                <c:ptCount val="6"/>
                <c:pt idx="0">
                  <c:v>-0.2280265846829643</c:v>
                </c:pt>
                <c:pt idx="1">
                  <c:v>-0.66364204199427579</c:v>
                </c:pt>
                <c:pt idx="2">
                  <c:v>-1.1910684150253337</c:v>
                </c:pt>
                <c:pt idx="3">
                  <c:v>-0.9646720376582566</c:v>
                </c:pt>
                <c:pt idx="4">
                  <c:v>-0.9715114621885621</c:v>
                </c:pt>
                <c:pt idx="5">
                  <c:v>-1.1373835560625571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79-4B49-9AC0-CB21628C8B86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data'!$C$30:$E$30</c:f>
              <c:numCache>
                <c:formatCode>General</c:formatCode>
                <c:ptCount val="3"/>
                <c:pt idx="0">
                  <c:v>-0.2280265846829643</c:v>
                </c:pt>
                <c:pt idx="1">
                  <c:v>-0.66364204199427579</c:v>
                </c:pt>
                <c:pt idx="2">
                  <c:v>-1.1910684150253337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79-4B49-9AC0-CB21628C8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'[1]Raw data'!$B$3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data'!$C$25:$H$25</c:f>
              <c:numCache>
                <c:formatCode>General</c:formatCode>
                <c:ptCount val="6"/>
                <c:pt idx="0">
                  <c:v>1.0720067508031494</c:v>
                </c:pt>
                <c:pt idx="1">
                  <c:v>0.50537994627968952</c:v>
                </c:pt>
                <c:pt idx="2">
                  <c:v>0.14822608073392973</c:v>
                </c:pt>
                <c:pt idx="3">
                  <c:v>-8.332305042750987E-2</c:v>
                </c:pt>
                <c:pt idx="4">
                  <c:v>-0.18202028604793691</c:v>
                </c:pt>
                <c:pt idx="5">
                  <c:v>0.24156336312028873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53-4EEC-9EE8-4A2A121BCD7D}"/>
            </c:ext>
          </c:extLst>
        </c:ser>
        <c:ser>
          <c:idx val="1"/>
          <c:order val="1"/>
          <c:tx>
            <c:strRef>
              <c:f>'[1]Raw data'!$B$2</c:f>
              <c:strCache>
                <c:ptCount val="1"/>
                <c:pt idx="0">
                  <c:v>extrapolated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'[1]Raw data'!$C$1:$H$1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'[1]Raw data'!$C$24:$H$24</c:f>
              <c:numCache>
                <c:formatCode>General</c:formatCode>
                <c:ptCount val="6"/>
                <c:pt idx="0">
                  <c:v>1.0720067508031494</c:v>
                </c:pt>
                <c:pt idx="1">
                  <c:v>0.50537994627968952</c:v>
                </c:pt>
                <c:pt idx="2">
                  <c:v>0.14822608073392973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53-4EEC-9EE8-4A2A121BC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660072"/>
        <c:axId val="436658760"/>
      </c:scatterChart>
      <c:valAx>
        <c:axId val="436660072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58760"/>
        <c:crosses val="autoZero"/>
        <c:crossBetween val="midCat"/>
      </c:valAx>
      <c:valAx>
        <c:axId val="43665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660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data'!$C$29:$H$29</c:f>
              <c:numCache>
                <c:formatCode>General</c:formatCode>
                <c:ptCount val="6"/>
                <c:pt idx="0">
                  <c:v>0.898803510470922</c:v>
                </c:pt>
                <c:pt idx="1">
                  <c:v>0.49757132896107648</c:v>
                </c:pt>
                <c:pt idx="2">
                  <c:v>0.2281619519970729</c:v>
                </c:pt>
                <c:pt idx="3">
                  <c:v>1.2987786149530967E-2</c:v>
                </c:pt>
                <c:pt idx="4">
                  <c:v>-8.1670046451319631E-2</c:v>
                </c:pt>
                <c:pt idx="5">
                  <c:v>0.43222460583212341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63-46BC-8B54-DAE4F1C77658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data'!$C$29:$E$29</c:f>
              <c:numCache>
                <c:formatCode>General</c:formatCode>
                <c:ptCount val="3"/>
                <c:pt idx="0">
                  <c:v>0.898803510470922</c:v>
                </c:pt>
                <c:pt idx="1">
                  <c:v>0.49757132896107648</c:v>
                </c:pt>
                <c:pt idx="2">
                  <c:v>0.2281619519970729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63-46BC-8B54-DAE4F1C77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data'!$C$31:$H$31</c:f>
              <c:numCache>
                <c:formatCode>General</c:formatCode>
                <c:ptCount val="6"/>
                <c:pt idx="0">
                  <c:v>-1.4188740467813489E-2</c:v>
                </c:pt>
                <c:pt idx="1">
                  <c:v>-0.32658410013636957</c:v>
                </c:pt>
                <c:pt idx="2">
                  <c:v>-0.38457604711405619</c:v>
                </c:pt>
                <c:pt idx="3">
                  <c:v>-0.41980842356746279</c:v>
                </c:pt>
                <c:pt idx="4">
                  <c:v>-0.2498774732166</c:v>
                </c:pt>
                <c:pt idx="5">
                  <c:v>0.86807737827550768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48-4825-80B2-73D9696EB446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data'!$C$31:$E$31</c:f>
              <c:numCache>
                <c:formatCode>General</c:formatCode>
                <c:ptCount val="3"/>
                <c:pt idx="0">
                  <c:v>-1.4188740467813489E-2</c:v>
                </c:pt>
                <c:pt idx="1">
                  <c:v>-0.32658410013636957</c:v>
                </c:pt>
                <c:pt idx="2">
                  <c:v>-0.38457604711405619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48-4825-80B2-73D9696EB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data'!$C$16:$H$16</c:f>
              <c:numCache>
                <c:formatCode>General</c:formatCode>
                <c:ptCount val="6"/>
                <c:pt idx="0">
                  <c:v>-0.27251683868177085</c:v>
                </c:pt>
                <c:pt idx="1">
                  <c:v>-0.53334417895850272</c:v>
                </c:pt>
                <c:pt idx="2">
                  <c:v>-0.5606673061697377</c:v>
                </c:pt>
                <c:pt idx="3">
                  <c:v>-0.48811663902112584</c:v>
                </c:pt>
                <c:pt idx="4">
                  <c:v>-0.12390593117053224</c:v>
                </c:pt>
                <c:pt idx="5">
                  <c:v>-1.0492180226701822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95-4BCD-ABFC-9D263E61BE5B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data'!$C$16:$E$16</c:f>
              <c:numCache>
                <c:formatCode>General</c:formatCode>
                <c:ptCount val="3"/>
                <c:pt idx="0">
                  <c:v>-0.27251683868177085</c:v>
                </c:pt>
                <c:pt idx="1">
                  <c:v>-0.53334417895850272</c:v>
                </c:pt>
                <c:pt idx="2">
                  <c:v>-0.5606673061697377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95-4BCD-ABFC-9D263E61B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data'!$C$16:$H$16</c:f>
              <c:numCache>
                <c:formatCode>General</c:formatCode>
                <c:ptCount val="6"/>
                <c:pt idx="0">
                  <c:v>-0.16554696550103468</c:v>
                </c:pt>
                <c:pt idx="1">
                  <c:v>-0.3961036656320403</c:v>
                </c:pt>
                <c:pt idx="2">
                  <c:v>-0.59187506434897463</c:v>
                </c:pt>
                <c:pt idx="3">
                  <c:v>-0.57495235923291033</c:v>
                </c:pt>
                <c:pt idx="4">
                  <c:v>-0.37640033081592789</c:v>
                </c:pt>
                <c:pt idx="5">
                  <c:v>0.76190236735035355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DC-4762-9223-E1E4E1ECAC7E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data'!$C$16:$E$16</c:f>
              <c:numCache>
                <c:formatCode>General</c:formatCode>
                <c:ptCount val="3"/>
                <c:pt idx="0">
                  <c:v>-0.16554696550103468</c:v>
                </c:pt>
                <c:pt idx="1">
                  <c:v>-0.3961036656320403</c:v>
                </c:pt>
                <c:pt idx="2">
                  <c:v>-0.59187506434897463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DC-4762-9223-E1E4E1ECA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data'!$C$34:$H$34</c:f>
              <c:numCache>
                <c:formatCode>General</c:formatCode>
                <c:ptCount val="6"/>
                <c:pt idx="0">
                  <c:v>-8.6156825561086239E-3</c:v>
                </c:pt>
                <c:pt idx="1">
                  <c:v>-0.26962153141235717</c:v>
                </c:pt>
                <c:pt idx="2">
                  <c:v>-0.32988673568645516</c:v>
                </c:pt>
                <c:pt idx="3">
                  <c:v>-0.33154751966791968</c:v>
                </c:pt>
                <c:pt idx="4">
                  <c:v>-0.1418066618955956</c:v>
                </c:pt>
                <c:pt idx="5">
                  <c:v>-0.96285819199543377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42-4F41-AA4E-2D06F4DF5FAD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data'!$C$34:$E$34</c:f>
              <c:numCache>
                <c:formatCode>General</c:formatCode>
                <c:ptCount val="3"/>
                <c:pt idx="0">
                  <c:v>-8.6156825561086239E-3</c:v>
                </c:pt>
                <c:pt idx="1">
                  <c:v>-0.26962153141235717</c:v>
                </c:pt>
                <c:pt idx="2">
                  <c:v>-0.32988673568645516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42-4F41-AA4E-2D06F4DF5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'[3]Raw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'[3]Raw data'!$C$7:$H$7</c:f>
              <c:numCache>
                <c:formatCode>General</c:formatCode>
                <c:ptCount val="6"/>
                <c:pt idx="0">
                  <c:v>0.80015766066716087</c:v>
                </c:pt>
                <c:pt idx="1">
                  <c:v>0.36076665270698138</c:v>
                </c:pt>
                <c:pt idx="2">
                  <c:v>7.5485100487661133E-2</c:v>
                </c:pt>
                <c:pt idx="3">
                  <c:v>-0.15595479560900954</c:v>
                </c:pt>
                <c:pt idx="4">
                  <c:v>-0.28655217229535829</c:v>
                </c:pt>
                <c:pt idx="5">
                  <c:v>0.19246349974396706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29-40B8-8391-89E44917B50F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'[3]Raw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'[3]Raw data'!$C$7:$E$7</c:f>
              <c:numCache>
                <c:formatCode>General</c:formatCode>
                <c:ptCount val="3"/>
                <c:pt idx="0">
                  <c:v>0.80015766066716087</c:v>
                </c:pt>
                <c:pt idx="1">
                  <c:v>0.36076665270698138</c:v>
                </c:pt>
                <c:pt idx="2">
                  <c:v>7.5485100487661133E-2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229-40B8-8391-89E44917B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Experimental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'[2]Raw data'!$C$3:$H$3</c:f>
              <c:numCache>
                <c:formatCode>General</c:formatCode>
                <c:ptCount val="6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  <c:pt idx="4">
                  <c:v>90</c:v>
                </c:pt>
                <c:pt idx="5">
                  <c:v>100</c:v>
                </c:pt>
              </c:numCache>
            </c:numRef>
          </c:xVal>
          <c:yVal>
            <c:numRef>
              <c:f>'[2]Raw data'!$C$26:$H$26</c:f>
              <c:numCache>
                <c:formatCode>General</c:formatCode>
                <c:ptCount val="6"/>
                <c:pt idx="0">
                  <c:v>0.72719256613716077</c:v>
                </c:pt>
                <c:pt idx="1">
                  <c:v>0.33710255122386451</c:v>
                </c:pt>
                <c:pt idx="2">
                  <c:v>8.8136088700551229E-2</c:v>
                </c:pt>
                <c:pt idx="3">
                  <c:v>-4.2324314722281216E-2</c:v>
                </c:pt>
                <c:pt idx="4">
                  <c:v>1.0723865391772973E-2</c:v>
                </c:pt>
                <c:pt idx="5">
                  <c:v>-0.94884747755261911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18-4A44-BFA7-541CD8952363}"/>
            </c:ext>
          </c:extLst>
        </c:ser>
        <c:ser>
          <c:idx val="1"/>
          <c:order val="1"/>
          <c:tx>
            <c:v>extrapolated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30"/>
            <c:dispRSqr val="0"/>
            <c:dispEq val="0"/>
          </c:trendline>
          <c:xVal>
            <c:numRef>
              <c:f>'[2]Raw data'!$C$3:$E$3</c:f>
              <c:numCache>
                <c:formatCode>General</c:formatCode>
                <c:ptCount val="3"/>
                <c:pt idx="0">
                  <c:v>50</c:v>
                </c:pt>
                <c:pt idx="1">
                  <c:v>60</c:v>
                </c:pt>
                <c:pt idx="2">
                  <c:v>70</c:v>
                </c:pt>
              </c:numCache>
            </c:numRef>
          </c:xVal>
          <c:yVal>
            <c:numRef>
              <c:f>'[2]Raw data'!$C$26:$E$26</c:f>
              <c:numCache>
                <c:formatCode>General</c:formatCode>
                <c:ptCount val="3"/>
                <c:pt idx="0">
                  <c:v>0.72719256613716077</c:v>
                </c:pt>
                <c:pt idx="1">
                  <c:v>0.33710255122386451</c:v>
                </c:pt>
                <c:pt idx="2">
                  <c:v>8.8136088700551229E-2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18-4A44-BFA7-541CD8952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514144"/>
        <c:axId val="1889520864"/>
      </c:scatterChart>
      <c:valAx>
        <c:axId val="188951414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20864"/>
        <c:crosses val="autoZero"/>
        <c:crossBetween val="midCat"/>
      </c:valAx>
      <c:valAx>
        <c:axId val="188952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1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37.xml"/><Relationship Id="rId21" Type="http://schemas.openxmlformats.org/officeDocument/2006/relationships/chart" Target="../charts/chart32.xml"/><Relationship Id="rId42" Type="http://schemas.openxmlformats.org/officeDocument/2006/relationships/chart" Target="../charts/chart53.xml"/><Relationship Id="rId47" Type="http://schemas.openxmlformats.org/officeDocument/2006/relationships/chart" Target="../charts/chart58.xml"/><Relationship Id="rId63" Type="http://schemas.openxmlformats.org/officeDocument/2006/relationships/chart" Target="../charts/chart74.xml"/><Relationship Id="rId68" Type="http://schemas.openxmlformats.org/officeDocument/2006/relationships/chart" Target="../charts/chart79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6" Type="http://schemas.openxmlformats.org/officeDocument/2006/relationships/chart" Target="../charts/chart27.xml"/><Relationship Id="rId29" Type="http://schemas.openxmlformats.org/officeDocument/2006/relationships/chart" Target="../charts/chart40.xml"/><Relationship Id="rId11" Type="http://schemas.openxmlformats.org/officeDocument/2006/relationships/chart" Target="../charts/chart22.xml"/><Relationship Id="rId24" Type="http://schemas.openxmlformats.org/officeDocument/2006/relationships/chart" Target="../charts/chart35.xml"/><Relationship Id="rId32" Type="http://schemas.openxmlformats.org/officeDocument/2006/relationships/chart" Target="../charts/chart43.xml"/><Relationship Id="rId37" Type="http://schemas.openxmlformats.org/officeDocument/2006/relationships/chart" Target="../charts/chart48.xml"/><Relationship Id="rId40" Type="http://schemas.openxmlformats.org/officeDocument/2006/relationships/chart" Target="../charts/chart51.xml"/><Relationship Id="rId45" Type="http://schemas.openxmlformats.org/officeDocument/2006/relationships/chart" Target="../charts/chart56.xml"/><Relationship Id="rId53" Type="http://schemas.openxmlformats.org/officeDocument/2006/relationships/chart" Target="../charts/chart64.xml"/><Relationship Id="rId58" Type="http://schemas.openxmlformats.org/officeDocument/2006/relationships/chart" Target="../charts/chart69.xml"/><Relationship Id="rId66" Type="http://schemas.openxmlformats.org/officeDocument/2006/relationships/chart" Target="../charts/chart77.xml"/><Relationship Id="rId5" Type="http://schemas.openxmlformats.org/officeDocument/2006/relationships/chart" Target="../charts/chart16.xml"/><Relationship Id="rId61" Type="http://schemas.openxmlformats.org/officeDocument/2006/relationships/chart" Target="../charts/chart72.xml"/><Relationship Id="rId19" Type="http://schemas.openxmlformats.org/officeDocument/2006/relationships/chart" Target="../charts/chart30.xml"/><Relationship Id="rId14" Type="http://schemas.openxmlformats.org/officeDocument/2006/relationships/chart" Target="../charts/chart25.xml"/><Relationship Id="rId22" Type="http://schemas.openxmlformats.org/officeDocument/2006/relationships/chart" Target="../charts/chart33.xml"/><Relationship Id="rId27" Type="http://schemas.openxmlformats.org/officeDocument/2006/relationships/chart" Target="../charts/chart38.xml"/><Relationship Id="rId30" Type="http://schemas.openxmlformats.org/officeDocument/2006/relationships/chart" Target="../charts/chart41.xml"/><Relationship Id="rId35" Type="http://schemas.openxmlformats.org/officeDocument/2006/relationships/chart" Target="../charts/chart46.xml"/><Relationship Id="rId43" Type="http://schemas.openxmlformats.org/officeDocument/2006/relationships/chart" Target="../charts/chart54.xml"/><Relationship Id="rId48" Type="http://schemas.openxmlformats.org/officeDocument/2006/relationships/chart" Target="../charts/chart59.xml"/><Relationship Id="rId56" Type="http://schemas.openxmlformats.org/officeDocument/2006/relationships/chart" Target="../charts/chart67.xml"/><Relationship Id="rId64" Type="http://schemas.openxmlformats.org/officeDocument/2006/relationships/chart" Target="../charts/chart75.xml"/><Relationship Id="rId69" Type="http://schemas.openxmlformats.org/officeDocument/2006/relationships/chart" Target="../charts/chart80.xml"/><Relationship Id="rId8" Type="http://schemas.openxmlformats.org/officeDocument/2006/relationships/chart" Target="../charts/chart19.xml"/><Relationship Id="rId51" Type="http://schemas.openxmlformats.org/officeDocument/2006/relationships/chart" Target="../charts/chart62.xml"/><Relationship Id="rId3" Type="http://schemas.openxmlformats.org/officeDocument/2006/relationships/chart" Target="../charts/chart14.xml"/><Relationship Id="rId12" Type="http://schemas.openxmlformats.org/officeDocument/2006/relationships/chart" Target="../charts/chart23.xml"/><Relationship Id="rId17" Type="http://schemas.openxmlformats.org/officeDocument/2006/relationships/chart" Target="../charts/chart28.xml"/><Relationship Id="rId25" Type="http://schemas.openxmlformats.org/officeDocument/2006/relationships/chart" Target="../charts/chart36.xml"/><Relationship Id="rId33" Type="http://schemas.openxmlformats.org/officeDocument/2006/relationships/chart" Target="../charts/chart44.xml"/><Relationship Id="rId38" Type="http://schemas.openxmlformats.org/officeDocument/2006/relationships/chart" Target="../charts/chart49.xml"/><Relationship Id="rId46" Type="http://schemas.openxmlformats.org/officeDocument/2006/relationships/chart" Target="../charts/chart57.xml"/><Relationship Id="rId59" Type="http://schemas.openxmlformats.org/officeDocument/2006/relationships/chart" Target="../charts/chart70.xml"/><Relationship Id="rId67" Type="http://schemas.openxmlformats.org/officeDocument/2006/relationships/chart" Target="../charts/chart78.xml"/><Relationship Id="rId20" Type="http://schemas.openxmlformats.org/officeDocument/2006/relationships/chart" Target="../charts/chart31.xml"/><Relationship Id="rId41" Type="http://schemas.openxmlformats.org/officeDocument/2006/relationships/chart" Target="../charts/chart52.xml"/><Relationship Id="rId54" Type="http://schemas.openxmlformats.org/officeDocument/2006/relationships/chart" Target="../charts/chart65.xml"/><Relationship Id="rId62" Type="http://schemas.openxmlformats.org/officeDocument/2006/relationships/chart" Target="../charts/chart7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5" Type="http://schemas.openxmlformats.org/officeDocument/2006/relationships/chart" Target="../charts/chart26.xml"/><Relationship Id="rId23" Type="http://schemas.openxmlformats.org/officeDocument/2006/relationships/chart" Target="../charts/chart34.xml"/><Relationship Id="rId28" Type="http://schemas.openxmlformats.org/officeDocument/2006/relationships/chart" Target="../charts/chart39.xml"/><Relationship Id="rId36" Type="http://schemas.openxmlformats.org/officeDocument/2006/relationships/chart" Target="../charts/chart47.xml"/><Relationship Id="rId49" Type="http://schemas.openxmlformats.org/officeDocument/2006/relationships/chart" Target="../charts/chart60.xml"/><Relationship Id="rId57" Type="http://schemas.openxmlformats.org/officeDocument/2006/relationships/chart" Target="../charts/chart68.xml"/><Relationship Id="rId10" Type="http://schemas.openxmlformats.org/officeDocument/2006/relationships/chart" Target="../charts/chart21.xml"/><Relationship Id="rId31" Type="http://schemas.openxmlformats.org/officeDocument/2006/relationships/chart" Target="../charts/chart42.xml"/><Relationship Id="rId44" Type="http://schemas.openxmlformats.org/officeDocument/2006/relationships/chart" Target="../charts/chart55.xml"/><Relationship Id="rId52" Type="http://schemas.openxmlformats.org/officeDocument/2006/relationships/chart" Target="../charts/chart63.xml"/><Relationship Id="rId60" Type="http://schemas.openxmlformats.org/officeDocument/2006/relationships/chart" Target="../charts/chart71.xml"/><Relationship Id="rId65" Type="http://schemas.openxmlformats.org/officeDocument/2006/relationships/chart" Target="../charts/chart76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3" Type="http://schemas.openxmlformats.org/officeDocument/2006/relationships/chart" Target="../charts/chart24.xml"/><Relationship Id="rId18" Type="http://schemas.openxmlformats.org/officeDocument/2006/relationships/chart" Target="../charts/chart29.xml"/><Relationship Id="rId39" Type="http://schemas.openxmlformats.org/officeDocument/2006/relationships/chart" Target="../charts/chart50.xml"/><Relationship Id="rId34" Type="http://schemas.openxmlformats.org/officeDocument/2006/relationships/chart" Target="../charts/chart45.xml"/><Relationship Id="rId50" Type="http://schemas.openxmlformats.org/officeDocument/2006/relationships/chart" Target="../charts/chart61.xml"/><Relationship Id="rId55" Type="http://schemas.openxmlformats.org/officeDocument/2006/relationships/chart" Target="../charts/chart66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5</xdr:row>
      <xdr:rowOff>66678</xdr:rowOff>
    </xdr:from>
    <xdr:to>
      <xdr:col>3</xdr:col>
      <xdr:colOff>4143375</xdr:colOff>
      <xdr:row>5</xdr:row>
      <xdr:rowOff>2000250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114299</xdr:colOff>
      <xdr:row>1</xdr:row>
      <xdr:rowOff>47625</xdr:rowOff>
    </xdr:from>
    <xdr:to>
      <xdr:col>3</xdr:col>
      <xdr:colOff>4191000</xdr:colOff>
      <xdr:row>1</xdr:row>
      <xdr:rowOff>2038350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104775</xdr:colOff>
      <xdr:row>2</xdr:row>
      <xdr:rowOff>28575</xdr:rowOff>
    </xdr:from>
    <xdr:to>
      <xdr:col>3</xdr:col>
      <xdr:colOff>4210050</xdr:colOff>
      <xdr:row>2</xdr:row>
      <xdr:rowOff>1924050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104775</xdr:colOff>
      <xdr:row>3</xdr:row>
      <xdr:rowOff>114300</xdr:rowOff>
    </xdr:from>
    <xdr:to>
      <xdr:col>3</xdr:col>
      <xdr:colOff>4238625</xdr:colOff>
      <xdr:row>3</xdr:row>
      <xdr:rowOff>2028826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95250</xdr:colOff>
      <xdr:row>4</xdr:row>
      <xdr:rowOff>85725</xdr:rowOff>
    </xdr:from>
    <xdr:to>
      <xdr:col>3</xdr:col>
      <xdr:colOff>4210050</xdr:colOff>
      <xdr:row>4</xdr:row>
      <xdr:rowOff>2105025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114300</xdr:colOff>
      <xdr:row>6</xdr:row>
      <xdr:rowOff>57150</xdr:rowOff>
    </xdr:from>
    <xdr:to>
      <xdr:col>3</xdr:col>
      <xdr:colOff>4152900</xdr:colOff>
      <xdr:row>6</xdr:row>
      <xdr:rowOff>2028825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95250</xdr:colOff>
      <xdr:row>7</xdr:row>
      <xdr:rowOff>57151</xdr:rowOff>
    </xdr:from>
    <xdr:to>
      <xdr:col>3</xdr:col>
      <xdr:colOff>4152900</xdr:colOff>
      <xdr:row>7</xdr:row>
      <xdr:rowOff>2000251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85724</xdr:colOff>
      <xdr:row>8</xdr:row>
      <xdr:rowOff>85723</xdr:rowOff>
    </xdr:from>
    <xdr:to>
      <xdr:col>3</xdr:col>
      <xdr:colOff>4171949</xdr:colOff>
      <xdr:row>8</xdr:row>
      <xdr:rowOff>2105024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66675</xdr:colOff>
      <xdr:row>9</xdr:row>
      <xdr:rowOff>47625</xdr:rowOff>
    </xdr:from>
    <xdr:to>
      <xdr:col>3</xdr:col>
      <xdr:colOff>4181475</xdr:colOff>
      <xdr:row>9</xdr:row>
      <xdr:rowOff>2400300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66674</xdr:colOff>
      <xdr:row>10</xdr:row>
      <xdr:rowOff>85725</xdr:rowOff>
    </xdr:from>
    <xdr:to>
      <xdr:col>3</xdr:col>
      <xdr:colOff>4162425</xdr:colOff>
      <xdr:row>10</xdr:row>
      <xdr:rowOff>2428875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104774</xdr:colOff>
      <xdr:row>11</xdr:row>
      <xdr:rowOff>0</xdr:rowOff>
    </xdr:from>
    <xdr:to>
      <xdr:col>3</xdr:col>
      <xdr:colOff>4133849</xdr:colOff>
      <xdr:row>11</xdr:row>
      <xdr:rowOff>2314575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914400</xdr:colOff>
          <xdr:row>1</xdr:row>
          <xdr:rowOff>428625</xdr:rowOff>
        </xdr:from>
        <xdr:to>
          <xdr:col>1</xdr:col>
          <xdr:colOff>2552700</xdr:colOff>
          <xdr:row>1</xdr:row>
          <xdr:rowOff>1800225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</xdr:row>
          <xdr:rowOff>47625</xdr:rowOff>
        </xdr:from>
        <xdr:to>
          <xdr:col>1</xdr:col>
          <xdr:colOff>3409950</xdr:colOff>
          <xdr:row>2</xdr:row>
          <xdr:rowOff>1914525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1019175</xdr:colOff>
          <xdr:row>3</xdr:row>
          <xdr:rowOff>161925</xdr:rowOff>
        </xdr:from>
        <xdr:to>
          <xdr:col>1</xdr:col>
          <xdr:colOff>2457450</xdr:colOff>
          <xdr:row>3</xdr:row>
          <xdr:rowOff>1914525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361950</xdr:colOff>
          <xdr:row>4</xdr:row>
          <xdr:rowOff>133350</xdr:rowOff>
        </xdr:from>
        <xdr:to>
          <xdr:col>1</xdr:col>
          <xdr:colOff>3295650</xdr:colOff>
          <xdr:row>4</xdr:row>
          <xdr:rowOff>2085975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5</xdr:row>
          <xdr:rowOff>257175</xdr:rowOff>
        </xdr:from>
        <xdr:to>
          <xdr:col>1</xdr:col>
          <xdr:colOff>3905250</xdr:colOff>
          <xdr:row>5</xdr:row>
          <xdr:rowOff>1771650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1371600</xdr:colOff>
          <xdr:row>6</xdr:row>
          <xdr:rowOff>657225</xdr:rowOff>
        </xdr:from>
        <xdr:to>
          <xdr:col>1</xdr:col>
          <xdr:colOff>2381250</xdr:colOff>
          <xdr:row>6</xdr:row>
          <xdr:rowOff>1371600</xdr:rowOff>
        </xdr:to>
        <xdr:sp macro="" textlink="">
          <xdr:nvSpPr>
            <xdr:cNvPr id="2054" name="Object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1104900</xdr:colOff>
          <xdr:row>7</xdr:row>
          <xdr:rowOff>485775</xdr:rowOff>
        </xdr:from>
        <xdr:to>
          <xdr:col>1</xdr:col>
          <xdr:colOff>2552700</xdr:colOff>
          <xdr:row>7</xdr:row>
          <xdr:rowOff>1314450</xdr:rowOff>
        </xdr:to>
        <xdr:sp macro="" textlink="">
          <xdr:nvSpPr>
            <xdr:cNvPr id="2055" name="Object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8</xdr:row>
          <xdr:rowOff>142875</xdr:rowOff>
        </xdr:from>
        <xdr:to>
          <xdr:col>1</xdr:col>
          <xdr:colOff>2752725</xdr:colOff>
          <xdr:row>8</xdr:row>
          <xdr:rowOff>2057400</xdr:rowOff>
        </xdr:to>
        <xdr:sp macro="" textlink="">
          <xdr:nvSpPr>
            <xdr:cNvPr id="2056" name="Object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419100</xdr:colOff>
          <xdr:row>9</xdr:row>
          <xdr:rowOff>638175</xdr:rowOff>
        </xdr:from>
        <xdr:to>
          <xdr:col>1</xdr:col>
          <xdr:colOff>3190875</xdr:colOff>
          <xdr:row>9</xdr:row>
          <xdr:rowOff>1771650</xdr:rowOff>
        </xdr:to>
        <xdr:sp macro="" textlink="">
          <xdr:nvSpPr>
            <xdr:cNvPr id="2057" name="Object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0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828675</xdr:colOff>
          <xdr:row>10</xdr:row>
          <xdr:rowOff>704850</xdr:rowOff>
        </xdr:from>
        <xdr:to>
          <xdr:col>1</xdr:col>
          <xdr:colOff>2971800</xdr:colOff>
          <xdr:row>10</xdr:row>
          <xdr:rowOff>1714500</xdr:rowOff>
        </xdr:to>
        <xdr:sp macro="" textlink="">
          <xdr:nvSpPr>
            <xdr:cNvPr id="2058" name="Object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0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657225</xdr:colOff>
          <xdr:row>11</xdr:row>
          <xdr:rowOff>276225</xdr:rowOff>
        </xdr:from>
        <xdr:to>
          <xdr:col>1</xdr:col>
          <xdr:colOff>3076575</xdr:colOff>
          <xdr:row>11</xdr:row>
          <xdr:rowOff>1962150</xdr:rowOff>
        </xdr:to>
        <xdr:sp macro="" textlink="">
          <xdr:nvSpPr>
            <xdr:cNvPr id="2059" name="Object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0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142876</xdr:colOff>
      <xdr:row>1</xdr:row>
      <xdr:rowOff>95250</xdr:rowOff>
    </xdr:from>
    <xdr:to>
      <xdr:col>7</xdr:col>
      <xdr:colOff>3724276</xdr:colOff>
      <xdr:row>1</xdr:row>
      <xdr:rowOff>2143126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85725</xdr:colOff>
      <xdr:row>2</xdr:row>
      <xdr:rowOff>57150</xdr:rowOff>
    </xdr:from>
    <xdr:to>
      <xdr:col>7</xdr:col>
      <xdr:colOff>3752850</xdr:colOff>
      <xdr:row>2</xdr:row>
      <xdr:rowOff>2295525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95250</xdr:colOff>
      <xdr:row>3</xdr:row>
      <xdr:rowOff>47625</xdr:rowOff>
    </xdr:from>
    <xdr:to>
      <xdr:col>7</xdr:col>
      <xdr:colOff>3743325</xdr:colOff>
      <xdr:row>3</xdr:row>
      <xdr:rowOff>2296230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57149</xdr:colOff>
      <xdr:row>62</xdr:row>
      <xdr:rowOff>38101</xdr:rowOff>
    </xdr:from>
    <xdr:to>
      <xdr:col>7</xdr:col>
      <xdr:colOff>3810000</xdr:colOff>
      <xdr:row>62</xdr:row>
      <xdr:rowOff>2286001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190500</xdr:colOff>
      <xdr:row>52</xdr:row>
      <xdr:rowOff>57150</xdr:rowOff>
    </xdr:from>
    <xdr:to>
      <xdr:col>7</xdr:col>
      <xdr:colOff>3724275</xdr:colOff>
      <xdr:row>52</xdr:row>
      <xdr:rowOff>2100385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57149</xdr:colOff>
      <xdr:row>42</xdr:row>
      <xdr:rowOff>28576</xdr:rowOff>
    </xdr:from>
    <xdr:to>
      <xdr:col>7</xdr:col>
      <xdr:colOff>3867150</xdr:colOff>
      <xdr:row>42</xdr:row>
      <xdr:rowOff>2238376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28575</xdr:colOff>
      <xdr:row>59</xdr:row>
      <xdr:rowOff>66676</xdr:rowOff>
    </xdr:from>
    <xdr:to>
      <xdr:col>7</xdr:col>
      <xdr:colOff>3838575</xdr:colOff>
      <xdr:row>59</xdr:row>
      <xdr:rowOff>2185866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38100</xdr:colOff>
      <xdr:row>39</xdr:row>
      <xdr:rowOff>95250</xdr:rowOff>
    </xdr:from>
    <xdr:to>
      <xdr:col>7</xdr:col>
      <xdr:colOff>3819525</xdr:colOff>
      <xdr:row>39</xdr:row>
      <xdr:rowOff>2247900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47625</xdr:colOff>
      <xdr:row>29</xdr:row>
      <xdr:rowOff>38100</xdr:rowOff>
    </xdr:from>
    <xdr:to>
      <xdr:col>7</xdr:col>
      <xdr:colOff>3819525</xdr:colOff>
      <xdr:row>29</xdr:row>
      <xdr:rowOff>2343150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19050</xdr:colOff>
      <xdr:row>23</xdr:row>
      <xdr:rowOff>28574</xdr:rowOff>
    </xdr:from>
    <xdr:to>
      <xdr:col>7</xdr:col>
      <xdr:colOff>3810000</xdr:colOff>
      <xdr:row>23</xdr:row>
      <xdr:rowOff>2305050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85725</xdr:colOff>
      <xdr:row>28</xdr:row>
      <xdr:rowOff>66675</xdr:rowOff>
    </xdr:from>
    <xdr:to>
      <xdr:col>7</xdr:col>
      <xdr:colOff>3781425</xdr:colOff>
      <xdr:row>28</xdr:row>
      <xdr:rowOff>2332405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76201</xdr:colOff>
      <xdr:row>51</xdr:row>
      <xdr:rowOff>57150</xdr:rowOff>
    </xdr:from>
    <xdr:to>
      <xdr:col>7</xdr:col>
      <xdr:colOff>3810001</xdr:colOff>
      <xdr:row>51</xdr:row>
      <xdr:rowOff>2266950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0</xdr:colOff>
      <xdr:row>43</xdr:row>
      <xdr:rowOff>66674</xdr:rowOff>
    </xdr:from>
    <xdr:to>
      <xdr:col>7</xdr:col>
      <xdr:colOff>3819525</xdr:colOff>
      <xdr:row>43</xdr:row>
      <xdr:rowOff>2247899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0</xdr:colOff>
      <xdr:row>41</xdr:row>
      <xdr:rowOff>38100</xdr:rowOff>
    </xdr:from>
    <xdr:to>
      <xdr:col>7</xdr:col>
      <xdr:colOff>3867150</xdr:colOff>
      <xdr:row>41</xdr:row>
      <xdr:rowOff>2352675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28575</xdr:colOff>
      <xdr:row>48</xdr:row>
      <xdr:rowOff>76200</xdr:rowOff>
    </xdr:from>
    <xdr:to>
      <xdr:col>7</xdr:col>
      <xdr:colOff>3838575</xdr:colOff>
      <xdr:row>48</xdr:row>
      <xdr:rowOff>2295525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170961</xdr:colOff>
      <xdr:row>46</xdr:row>
      <xdr:rowOff>134327</xdr:rowOff>
    </xdr:from>
    <xdr:to>
      <xdr:col>7</xdr:col>
      <xdr:colOff>3841749</xdr:colOff>
      <xdr:row>46</xdr:row>
      <xdr:rowOff>2273300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38101</xdr:colOff>
      <xdr:row>20</xdr:row>
      <xdr:rowOff>58372</xdr:rowOff>
    </xdr:from>
    <xdr:to>
      <xdr:col>7</xdr:col>
      <xdr:colOff>3857625</xdr:colOff>
      <xdr:row>20</xdr:row>
      <xdr:rowOff>2325322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122116</xdr:colOff>
      <xdr:row>63</xdr:row>
      <xdr:rowOff>19051</xdr:rowOff>
    </xdr:from>
    <xdr:to>
      <xdr:col>7</xdr:col>
      <xdr:colOff>3714750</xdr:colOff>
      <xdr:row>63</xdr:row>
      <xdr:rowOff>2247901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47625</xdr:colOff>
      <xdr:row>24</xdr:row>
      <xdr:rowOff>19050</xdr:rowOff>
    </xdr:from>
    <xdr:to>
      <xdr:col>7</xdr:col>
      <xdr:colOff>3810000</xdr:colOff>
      <xdr:row>24</xdr:row>
      <xdr:rowOff>2295525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</xdr:col>
      <xdr:colOff>0</xdr:colOff>
      <xdr:row>4</xdr:row>
      <xdr:rowOff>66675</xdr:rowOff>
    </xdr:from>
    <xdr:to>
      <xdr:col>7</xdr:col>
      <xdr:colOff>3800475</xdr:colOff>
      <xdr:row>4</xdr:row>
      <xdr:rowOff>2352675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</xdr:col>
      <xdr:colOff>104775</xdr:colOff>
      <xdr:row>26</xdr:row>
      <xdr:rowOff>66675</xdr:rowOff>
    </xdr:from>
    <xdr:to>
      <xdr:col>7</xdr:col>
      <xdr:colOff>3838575</xdr:colOff>
      <xdr:row>26</xdr:row>
      <xdr:rowOff>2266951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36636</xdr:colOff>
      <xdr:row>55</xdr:row>
      <xdr:rowOff>85481</xdr:rowOff>
    </xdr:from>
    <xdr:to>
      <xdr:col>7</xdr:col>
      <xdr:colOff>3810001</xdr:colOff>
      <xdr:row>55</xdr:row>
      <xdr:rowOff>2295525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76200</xdr:colOff>
      <xdr:row>37</xdr:row>
      <xdr:rowOff>57150</xdr:rowOff>
    </xdr:from>
    <xdr:to>
      <xdr:col>7</xdr:col>
      <xdr:colOff>3857625</xdr:colOff>
      <xdr:row>37</xdr:row>
      <xdr:rowOff>2219325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76201</xdr:colOff>
      <xdr:row>58</xdr:row>
      <xdr:rowOff>47626</xdr:rowOff>
    </xdr:from>
    <xdr:to>
      <xdr:col>7</xdr:col>
      <xdr:colOff>3781425</xdr:colOff>
      <xdr:row>58</xdr:row>
      <xdr:rowOff>2234712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7</xdr:col>
      <xdr:colOff>57150</xdr:colOff>
      <xdr:row>38</xdr:row>
      <xdr:rowOff>47625</xdr:rowOff>
    </xdr:from>
    <xdr:to>
      <xdr:col>7</xdr:col>
      <xdr:colOff>3810000</xdr:colOff>
      <xdr:row>38</xdr:row>
      <xdr:rowOff>2352675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7</xdr:col>
      <xdr:colOff>47626</xdr:colOff>
      <xdr:row>36</xdr:row>
      <xdr:rowOff>57151</xdr:rowOff>
    </xdr:from>
    <xdr:to>
      <xdr:col>7</xdr:col>
      <xdr:colOff>3819526</xdr:colOff>
      <xdr:row>36</xdr:row>
      <xdr:rowOff>2210288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</xdr:col>
      <xdr:colOff>38100</xdr:colOff>
      <xdr:row>34</xdr:row>
      <xdr:rowOff>47625</xdr:rowOff>
    </xdr:from>
    <xdr:to>
      <xdr:col>7</xdr:col>
      <xdr:colOff>3781425</xdr:colOff>
      <xdr:row>34</xdr:row>
      <xdr:rowOff>2266950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7</xdr:col>
      <xdr:colOff>38101</xdr:colOff>
      <xdr:row>33</xdr:row>
      <xdr:rowOff>85481</xdr:rowOff>
    </xdr:from>
    <xdr:to>
      <xdr:col>7</xdr:col>
      <xdr:colOff>3790951</xdr:colOff>
      <xdr:row>33</xdr:row>
      <xdr:rowOff>2305050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7</xdr:col>
      <xdr:colOff>28575</xdr:colOff>
      <xdr:row>40</xdr:row>
      <xdr:rowOff>38099</xdr:rowOff>
    </xdr:from>
    <xdr:to>
      <xdr:col>7</xdr:col>
      <xdr:colOff>3829050</xdr:colOff>
      <xdr:row>40</xdr:row>
      <xdr:rowOff>2234711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</xdr:col>
      <xdr:colOff>38100</xdr:colOff>
      <xdr:row>25</xdr:row>
      <xdr:rowOff>211753</xdr:rowOff>
    </xdr:from>
    <xdr:to>
      <xdr:col>7</xdr:col>
      <xdr:colOff>3771900</xdr:colOff>
      <xdr:row>25</xdr:row>
      <xdr:rowOff>2450128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7</xdr:col>
      <xdr:colOff>47626</xdr:colOff>
      <xdr:row>53</xdr:row>
      <xdr:rowOff>122115</xdr:rowOff>
    </xdr:from>
    <xdr:to>
      <xdr:col>7</xdr:col>
      <xdr:colOff>3752850</xdr:colOff>
      <xdr:row>53</xdr:row>
      <xdr:rowOff>2286000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7</xdr:col>
      <xdr:colOff>66676</xdr:colOff>
      <xdr:row>4</xdr:row>
      <xdr:rowOff>19051</xdr:rowOff>
    </xdr:from>
    <xdr:to>
      <xdr:col>7</xdr:col>
      <xdr:colOff>3800476</xdr:colOff>
      <xdr:row>4</xdr:row>
      <xdr:rowOff>2305051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7</xdr:col>
      <xdr:colOff>38100</xdr:colOff>
      <xdr:row>44</xdr:row>
      <xdr:rowOff>28575</xdr:rowOff>
    </xdr:from>
    <xdr:to>
      <xdr:col>7</xdr:col>
      <xdr:colOff>3800475</xdr:colOff>
      <xdr:row>44</xdr:row>
      <xdr:rowOff>2305050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7</xdr:col>
      <xdr:colOff>38101</xdr:colOff>
      <xdr:row>31</xdr:row>
      <xdr:rowOff>38100</xdr:rowOff>
    </xdr:from>
    <xdr:to>
      <xdr:col>7</xdr:col>
      <xdr:colOff>3838575</xdr:colOff>
      <xdr:row>31</xdr:row>
      <xdr:rowOff>2228850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7</xdr:col>
      <xdr:colOff>47625</xdr:colOff>
      <xdr:row>13</xdr:row>
      <xdr:rowOff>28575</xdr:rowOff>
    </xdr:from>
    <xdr:to>
      <xdr:col>7</xdr:col>
      <xdr:colOff>3829050</xdr:colOff>
      <xdr:row>13</xdr:row>
      <xdr:rowOff>2051538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</xdr:col>
      <xdr:colOff>85725</xdr:colOff>
      <xdr:row>5</xdr:row>
      <xdr:rowOff>95250</xdr:rowOff>
    </xdr:from>
    <xdr:to>
      <xdr:col>7</xdr:col>
      <xdr:colOff>3857625</xdr:colOff>
      <xdr:row>5</xdr:row>
      <xdr:rowOff>2257425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7</xdr:col>
      <xdr:colOff>66675</xdr:colOff>
      <xdr:row>19</xdr:row>
      <xdr:rowOff>95249</xdr:rowOff>
    </xdr:from>
    <xdr:to>
      <xdr:col>7</xdr:col>
      <xdr:colOff>3800475</xdr:colOff>
      <xdr:row>19</xdr:row>
      <xdr:rowOff>2295525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7</xdr:col>
      <xdr:colOff>95250</xdr:colOff>
      <xdr:row>6</xdr:row>
      <xdr:rowOff>57150</xdr:rowOff>
    </xdr:from>
    <xdr:to>
      <xdr:col>7</xdr:col>
      <xdr:colOff>3848100</xdr:colOff>
      <xdr:row>6</xdr:row>
      <xdr:rowOff>2266950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7</xdr:col>
      <xdr:colOff>97936</xdr:colOff>
      <xdr:row>66</xdr:row>
      <xdr:rowOff>191477</xdr:rowOff>
    </xdr:from>
    <xdr:to>
      <xdr:col>7</xdr:col>
      <xdr:colOff>3793636</xdr:colOff>
      <xdr:row>66</xdr:row>
      <xdr:rowOff>2220303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7</xdr:col>
      <xdr:colOff>85725</xdr:colOff>
      <xdr:row>30</xdr:row>
      <xdr:rowOff>66675</xdr:rowOff>
    </xdr:from>
    <xdr:to>
      <xdr:col>7</xdr:col>
      <xdr:colOff>3829051</xdr:colOff>
      <xdr:row>30</xdr:row>
      <xdr:rowOff>2286001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7</xdr:col>
      <xdr:colOff>28576</xdr:colOff>
      <xdr:row>61</xdr:row>
      <xdr:rowOff>19051</xdr:rowOff>
    </xdr:from>
    <xdr:to>
      <xdr:col>7</xdr:col>
      <xdr:colOff>3762375</xdr:colOff>
      <xdr:row>61</xdr:row>
      <xdr:rowOff>2343150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7</xdr:col>
      <xdr:colOff>57150</xdr:colOff>
      <xdr:row>32</xdr:row>
      <xdr:rowOff>57151</xdr:rowOff>
    </xdr:from>
    <xdr:to>
      <xdr:col>7</xdr:col>
      <xdr:colOff>3838575</xdr:colOff>
      <xdr:row>32</xdr:row>
      <xdr:rowOff>2246923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7</xdr:col>
      <xdr:colOff>95250</xdr:colOff>
      <xdr:row>17</xdr:row>
      <xdr:rowOff>57150</xdr:rowOff>
    </xdr:from>
    <xdr:to>
      <xdr:col>7</xdr:col>
      <xdr:colOff>3800475</xdr:colOff>
      <xdr:row>17</xdr:row>
      <xdr:rowOff>2246923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7</xdr:col>
      <xdr:colOff>28575</xdr:colOff>
      <xdr:row>64</xdr:row>
      <xdr:rowOff>38101</xdr:rowOff>
    </xdr:from>
    <xdr:to>
      <xdr:col>7</xdr:col>
      <xdr:colOff>3829050</xdr:colOff>
      <xdr:row>64</xdr:row>
      <xdr:rowOff>2286001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7</xdr:col>
      <xdr:colOff>38100</xdr:colOff>
      <xdr:row>35</xdr:row>
      <xdr:rowOff>38101</xdr:rowOff>
    </xdr:from>
    <xdr:to>
      <xdr:col>7</xdr:col>
      <xdr:colOff>3829049</xdr:colOff>
      <xdr:row>35</xdr:row>
      <xdr:rowOff>2324100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7</xdr:col>
      <xdr:colOff>66675</xdr:colOff>
      <xdr:row>22</xdr:row>
      <xdr:rowOff>76200</xdr:rowOff>
    </xdr:from>
    <xdr:to>
      <xdr:col>7</xdr:col>
      <xdr:colOff>3790950</xdr:colOff>
      <xdr:row>22</xdr:row>
      <xdr:rowOff>2238375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7</xdr:col>
      <xdr:colOff>47625</xdr:colOff>
      <xdr:row>21</xdr:row>
      <xdr:rowOff>57150</xdr:rowOff>
    </xdr:from>
    <xdr:to>
      <xdr:col>7</xdr:col>
      <xdr:colOff>3790951</xdr:colOff>
      <xdr:row>21</xdr:row>
      <xdr:rowOff>2333625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7</xdr:col>
      <xdr:colOff>76200</xdr:colOff>
      <xdr:row>14</xdr:row>
      <xdr:rowOff>36635</xdr:rowOff>
    </xdr:from>
    <xdr:to>
      <xdr:col>7</xdr:col>
      <xdr:colOff>3752850</xdr:colOff>
      <xdr:row>14</xdr:row>
      <xdr:rowOff>2039327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7</xdr:col>
      <xdr:colOff>108925</xdr:colOff>
      <xdr:row>65</xdr:row>
      <xdr:rowOff>73267</xdr:rowOff>
    </xdr:from>
    <xdr:to>
      <xdr:col>7</xdr:col>
      <xdr:colOff>3785576</xdr:colOff>
      <xdr:row>65</xdr:row>
      <xdr:rowOff>2275008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7</xdr:col>
      <xdr:colOff>28575</xdr:colOff>
      <xdr:row>47</xdr:row>
      <xdr:rowOff>47625</xdr:rowOff>
    </xdr:from>
    <xdr:to>
      <xdr:col>7</xdr:col>
      <xdr:colOff>3819525</xdr:colOff>
      <xdr:row>47</xdr:row>
      <xdr:rowOff>2228850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7</xdr:col>
      <xdr:colOff>57150</xdr:colOff>
      <xdr:row>15</xdr:row>
      <xdr:rowOff>28575</xdr:rowOff>
    </xdr:from>
    <xdr:to>
      <xdr:col>7</xdr:col>
      <xdr:colOff>3800475</xdr:colOff>
      <xdr:row>15</xdr:row>
      <xdr:rowOff>2002692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7</xdr:col>
      <xdr:colOff>95250</xdr:colOff>
      <xdr:row>16</xdr:row>
      <xdr:rowOff>109903</xdr:rowOff>
    </xdr:from>
    <xdr:to>
      <xdr:col>7</xdr:col>
      <xdr:colOff>3695699</xdr:colOff>
      <xdr:row>16</xdr:row>
      <xdr:rowOff>2271346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7</xdr:col>
      <xdr:colOff>123824</xdr:colOff>
      <xdr:row>18</xdr:row>
      <xdr:rowOff>85724</xdr:rowOff>
    </xdr:from>
    <xdr:to>
      <xdr:col>7</xdr:col>
      <xdr:colOff>3771899</xdr:colOff>
      <xdr:row>18</xdr:row>
      <xdr:rowOff>2210288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7</xdr:col>
      <xdr:colOff>182196</xdr:colOff>
      <xdr:row>27</xdr:row>
      <xdr:rowOff>83038</xdr:rowOff>
    </xdr:from>
    <xdr:to>
      <xdr:col>7</xdr:col>
      <xdr:colOff>3773121</xdr:colOff>
      <xdr:row>27</xdr:row>
      <xdr:rowOff>2321413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7</xdr:col>
      <xdr:colOff>76200</xdr:colOff>
      <xdr:row>45</xdr:row>
      <xdr:rowOff>145320</xdr:rowOff>
    </xdr:from>
    <xdr:to>
      <xdr:col>7</xdr:col>
      <xdr:colOff>3727449</xdr:colOff>
      <xdr:row>45</xdr:row>
      <xdr:rowOff>2326546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7</xdr:col>
      <xdr:colOff>57149</xdr:colOff>
      <xdr:row>49</xdr:row>
      <xdr:rowOff>76199</xdr:rowOff>
    </xdr:from>
    <xdr:to>
      <xdr:col>7</xdr:col>
      <xdr:colOff>3800475</xdr:colOff>
      <xdr:row>49</xdr:row>
      <xdr:rowOff>2124074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7</xdr:col>
      <xdr:colOff>57150</xdr:colOff>
      <xdr:row>54</xdr:row>
      <xdr:rowOff>19051</xdr:rowOff>
    </xdr:from>
    <xdr:to>
      <xdr:col>7</xdr:col>
      <xdr:colOff>3648075</xdr:colOff>
      <xdr:row>54</xdr:row>
      <xdr:rowOff>2266951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7</xdr:col>
      <xdr:colOff>85726</xdr:colOff>
      <xdr:row>56</xdr:row>
      <xdr:rowOff>57151</xdr:rowOff>
    </xdr:from>
    <xdr:to>
      <xdr:col>7</xdr:col>
      <xdr:colOff>3841750</xdr:colOff>
      <xdr:row>56</xdr:row>
      <xdr:rowOff>2247901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7</xdr:col>
      <xdr:colOff>76201</xdr:colOff>
      <xdr:row>57</xdr:row>
      <xdr:rowOff>28576</xdr:rowOff>
    </xdr:from>
    <xdr:to>
      <xdr:col>7</xdr:col>
      <xdr:colOff>3714751</xdr:colOff>
      <xdr:row>57</xdr:row>
      <xdr:rowOff>2234711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7</xdr:col>
      <xdr:colOff>170963</xdr:colOff>
      <xdr:row>67</xdr:row>
      <xdr:rowOff>122115</xdr:rowOff>
    </xdr:from>
    <xdr:to>
      <xdr:col>7</xdr:col>
      <xdr:colOff>3773365</xdr:colOff>
      <xdr:row>67</xdr:row>
      <xdr:rowOff>2210288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7</xdr:col>
      <xdr:colOff>61059</xdr:colOff>
      <xdr:row>68</xdr:row>
      <xdr:rowOff>146539</xdr:rowOff>
    </xdr:from>
    <xdr:to>
      <xdr:col>7</xdr:col>
      <xdr:colOff>3773367</xdr:colOff>
      <xdr:row>68</xdr:row>
      <xdr:rowOff>2161443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7</xdr:col>
      <xdr:colOff>179998</xdr:colOff>
      <xdr:row>60</xdr:row>
      <xdr:rowOff>73271</xdr:rowOff>
    </xdr:from>
    <xdr:to>
      <xdr:col>7</xdr:col>
      <xdr:colOff>3761397</xdr:colOff>
      <xdr:row>60</xdr:row>
      <xdr:rowOff>2222501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7</xdr:col>
      <xdr:colOff>78155</xdr:colOff>
      <xdr:row>50</xdr:row>
      <xdr:rowOff>78154</xdr:rowOff>
    </xdr:from>
    <xdr:to>
      <xdr:col>7</xdr:col>
      <xdr:colOff>3937001</xdr:colOff>
      <xdr:row>50</xdr:row>
      <xdr:rowOff>2266461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7</xdr:col>
      <xdr:colOff>66675</xdr:colOff>
      <xdr:row>7</xdr:row>
      <xdr:rowOff>28575</xdr:rowOff>
    </xdr:from>
    <xdr:to>
      <xdr:col>7</xdr:col>
      <xdr:colOff>3848101</xdr:colOff>
      <xdr:row>7</xdr:row>
      <xdr:rowOff>2295525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7</xdr:col>
      <xdr:colOff>0</xdr:colOff>
      <xdr:row>8</xdr:row>
      <xdr:rowOff>95250</xdr:rowOff>
    </xdr:from>
    <xdr:to>
      <xdr:col>7</xdr:col>
      <xdr:colOff>3867150</xdr:colOff>
      <xdr:row>8</xdr:row>
      <xdr:rowOff>2257425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7</xdr:col>
      <xdr:colOff>76200</xdr:colOff>
      <xdr:row>9</xdr:row>
      <xdr:rowOff>109903</xdr:rowOff>
    </xdr:from>
    <xdr:to>
      <xdr:col>7</xdr:col>
      <xdr:colOff>3781425</xdr:colOff>
      <xdr:row>9</xdr:row>
      <xdr:rowOff>2228849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7</xdr:col>
      <xdr:colOff>57151</xdr:colOff>
      <xdr:row>10</xdr:row>
      <xdr:rowOff>66674</xdr:rowOff>
    </xdr:from>
    <xdr:to>
      <xdr:col>7</xdr:col>
      <xdr:colOff>3829051</xdr:colOff>
      <xdr:row>10</xdr:row>
      <xdr:rowOff>2162175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7</xdr:col>
      <xdr:colOff>135059</xdr:colOff>
      <xdr:row>11</xdr:row>
      <xdr:rowOff>18561</xdr:rowOff>
    </xdr:from>
    <xdr:to>
      <xdr:col>7</xdr:col>
      <xdr:colOff>3916484</xdr:colOff>
      <xdr:row>11</xdr:row>
      <xdr:rowOff>2283606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7</xdr:col>
      <xdr:colOff>47625</xdr:colOff>
      <xdr:row>12</xdr:row>
      <xdr:rowOff>104534</xdr:rowOff>
    </xdr:from>
    <xdr:to>
      <xdr:col>7</xdr:col>
      <xdr:colOff>3848100</xdr:colOff>
      <xdr:row>12</xdr:row>
      <xdr:rowOff>2247659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hamelogK%20results/Astrazeneca%20chamelogK%2020%20compounds%20-24%20April%202024.xlsx" TargetMode="External"/><Relationship Id="rId2" Type="http://schemas.openxmlformats.org/officeDocument/2006/relationships/externalLinkPath" Target="https://azcollaboration-my.sharepoint.com/personal/knzk584_astrazeneca_net/Documents/Documents/Science%20objectives/Chameleonicity_Efflux_BA/ChamelogK%20results/Astrazeneca%20chamelogK%2020%20compounds%20-24%20April%202024.xlsx" TargetMode="External"/><Relationship Id="rId1" Type="http://schemas.openxmlformats.org/officeDocument/2006/relationships/externalLinkPath" Target="/personal/knzk584_astrazeneca_net/Documents/Documents/Science%20objectives/Chameleonicity_Efflux_BA/ChamelogK%20results/Astrazeneca%20chamelogK%2020%20compounds%20-24%20April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hamelogK%20results/Astrazeneca%20chamelogK%2030%20compounds%20-Oct-24_DB_V8.xlsx" TargetMode="External"/><Relationship Id="rId2" Type="http://schemas.openxmlformats.org/officeDocument/2006/relationships/externalLinkPath" Target="https://azcollaboration-my.sharepoint.com/personal/knzk584_astrazeneca_net/Documents/Documents/Science%20objectives/Chameleonicity_Efflux_BA/ChamelogK%20results/Astrazeneca%20chamelogK%2030%20compounds%20-Oct-24_DB_V8.xlsx" TargetMode="External"/><Relationship Id="rId1" Type="http://schemas.openxmlformats.org/officeDocument/2006/relationships/externalLinkPath" Target="/personal/knzk584_astrazeneca_net/Documents/Documents/Science%20objectives/Chameleonicity_Efflux_BA/ChamelogK%20results/Astrazeneca%20chamelogK%2030%20compounds%20-Oct-24_DB_V8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hamelogK%20results/Astrazeneca%20chamelogK%2031%20compounds%20-Oct-24_DP_V5.xlsx" TargetMode="External"/><Relationship Id="rId2" Type="http://schemas.openxmlformats.org/officeDocument/2006/relationships/externalLinkPath" Target="https://azcollaboration-my.sharepoint.com/personal/knzk584_astrazeneca_net/Documents/Documents/Science%20objectives/Chameleonicity_Efflux_BA/ChamelogK%20results/Astrazeneca%20chamelogK%2031%20compounds%20-Oct-24_DP_V5.xlsx" TargetMode="External"/><Relationship Id="rId1" Type="http://schemas.openxmlformats.org/officeDocument/2006/relationships/externalLinkPath" Target="/personal/knzk584_astrazeneca_net/Documents/Documents/Science%20objectives/Chameleonicity_Efflux_BA/ChamelogK%20results/Astrazeneca%20chamelogK%2031%20compounds%20-Oct-24_DP_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Method"/>
      <sheetName val="Calculations"/>
      <sheetName val="Graph"/>
      <sheetName val="Raw dat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C1">
            <v>50</v>
          </cell>
          <cell r="D1">
            <v>60</v>
          </cell>
          <cell r="E1">
            <v>70</v>
          </cell>
          <cell r="F1">
            <v>80</v>
          </cell>
          <cell r="G1">
            <v>90</v>
          </cell>
          <cell r="H1">
            <v>100</v>
          </cell>
        </row>
        <row r="2">
          <cell r="B2" t="str">
            <v>extrapolated</v>
          </cell>
          <cell r="C2">
            <v>0.61760444105812251</v>
          </cell>
          <cell r="D2">
            <v>0.19293581570341109</v>
          </cell>
          <cell r="E2">
            <v>-0.2061859473900548</v>
          </cell>
        </row>
        <row r="3">
          <cell r="B3" t="str">
            <v>experimental</v>
          </cell>
          <cell r="C3">
            <v>0.61760444105812251</v>
          </cell>
          <cell r="D3">
            <v>0.19293581570341109</v>
          </cell>
          <cell r="E3">
            <v>-0.2061859473900548</v>
          </cell>
          <cell r="F3">
            <v>-0.4486327169082247</v>
          </cell>
          <cell r="G3">
            <v>-0.47859594028566793</v>
          </cell>
          <cell r="H3">
            <v>-0.15912870363480236</v>
          </cell>
        </row>
        <row r="4">
          <cell r="C4">
            <v>1.2530174897461879</v>
          </cell>
          <cell r="D4">
            <v>0.72869761426300483</v>
          </cell>
          <cell r="E4">
            <v>0.26015226972139255</v>
          </cell>
        </row>
        <row r="5">
          <cell r="B5" t="str">
            <v>experimental</v>
          </cell>
          <cell r="C5">
            <v>1.2530174897461879</v>
          </cell>
          <cell r="D5">
            <v>0.72869761426300483</v>
          </cell>
          <cell r="E5">
            <v>0.26015226972139255</v>
          </cell>
          <cell r="F5">
            <v>-7.3622668882426537E-2</v>
          </cell>
          <cell r="G5">
            <v>-0.30546916019372583</v>
          </cell>
          <cell r="H5">
            <v>-0.4053640267512445</v>
          </cell>
        </row>
        <row r="6">
          <cell r="C6">
            <v>0.93858756249026676</v>
          </cell>
          <cell r="D6">
            <v>0.44715803134221926</v>
          </cell>
          <cell r="E6">
            <v>4.3942480980922651E-3</v>
          </cell>
        </row>
        <row r="7">
          <cell r="C7">
            <v>0.93858756249026676</v>
          </cell>
          <cell r="D7">
            <v>0.44715803134221926</v>
          </cell>
          <cell r="E7">
            <v>4.3942480980922651E-3</v>
          </cell>
          <cell r="F7">
            <v>-0.29663574756588884</v>
          </cell>
          <cell r="G7">
            <v>-0.41291716464169037</v>
          </cell>
          <cell r="H7">
            <v>-0.3979400086720376</v>
          </cell>
        </row>
        <row r="8">
          <cell r="C8">
            <v>0.74076400892699357</v>
          </cell>
          <cell r="D8">
            <v>0.30724213876426648</v>
          </cell>
          <cell r="E8">
            <v>-8.9610774266556878E-2</v>
          </cell>
        </row>
        <row r="9">
          <cell r="C9">
            <v>0.74076400892699357</v>
          </cell>
          <cell r="D9">
            <v>0.30724213876426648</v>
          </cell>
          <cell r="E9">
            <v>-8.9610774266556878E-2</v>
          </cell>
          <cell r="F9">
            <v>-0.36601829502220606</v>
          </cell>
          <cell r="G9">
            <v>-0.48081740027962605</v>
          </cell>
          <cell r="H9">
            <v>-0.42842933081993778</v>
          </cell>
        </row>
        <row r="10">
          <cell r="C10">
            <v>-0.51557950653883799</v>
          </cell>
          <cell r="D10">
            <v>-0.75801478693697211</v>
          </cell>
          <cell r="E10">
            <v>-1.0896107742665566</v>
          </cell>
        </row>
        <row r="11">
          <cell r="C11">
            <v>-0.51557950653883799</v>
          </cell>
          <cell r="D11">
            <v>-0.75801478693697211</v>
          </cell>
          <cell r="E11">
            <v>-1.0896107742665566</v>
          </cell>
          <cell r="F11">
            <v>-1.3084540137431877</v>
          </cell>
          <cell r="G11">
            <v>-1.0896107742665566</v>
          </cell>
          <cell r="H11">
            <v>-1.4091241756245509</v>
          </cell>
        </row>
        <row r="12">
          <cell r="C12">
            <v>1.1486444762209174</v>
          </cell>
          <cell r="D12">
            <v>0.65841565479102437</v>
          </cell>
          <cell r="E12">
            <v>0.23044892137827397</v>
          </cell>
        </row>
        <row r="13">
          <cell r="C13">
            <v>1.1486444762209174</v>
          </cell>
          <cell r="D13">
            <v>0.65841565479102437</v>
          </cell>
          <cell r="E13">
            <v>0.23044892137827397</v>
          </cell>
          <cell r="F13">
            <v>-9.7831104513248043E-2</v>
          </cell>
          <cell r="G13">
            <v>-0.30995416888559624</v>
          </cell>
          <cell r="H13">
            <v>-0.3525507203223987</v>
          </cell>
        </row>
        <row r="14">
          <cell r="C14">
            <v>0.26816531035526775</v>
          </cell>
          <cell r="D14">
            <v>-0.20382564548308379</v>
          </cell>
          <cell r="E14">
            <v>-0.53532356473459519</v>
          </cell>
        </row>
        <row r="15">
          <cell r="C15">
            <v>0.26816531035526775</v>
          </cell>
          <cell r="D15">
            <v>-0.20382564548308379</v>
          </cell>
          <cell r="E15">
            <v>-0.53532356473459519</v>
          </cell>
          <cell r="F15">
            <v>-0.72163398897196263</v>
          </cell>
          <cell r="G15">
            <v>-0.66026230134289521</v>
          </cell>
          <cell r="H15">
            <v>-0.24710554483057959</v>
          </cell>
        </row>
        <row r="16">
          <cell r="C16">
            <v>0.81831537890390349</v>
          </cell>
          <cell r="D16">
            <v>0.33838895694605908</v>
          </cell>
          <cell r="E16">
            <v>-4.7396339606958396E-2</v>
          </cell>
        </row>
        <row r="17">
          <cell r="C17">
            <v>0.81831537890390349</v>
          </cell>
          <cell r="D17">
            <v>0.33838895694605908</v>
          </cell>
          <cell r="E17">
            <v>-4.7396339606958396E-2</v>
          </cell>
          <cell r="F17">
            <v>-0.28655217229535829</v>
          </cell>
          <cell r="G17">
            <v>-0.48305028171191794</v>
          </cell>
          <cell r="H17">
            <v>-0.31753367159510643</v>
          </cell>
        </row>
        <row r="18">
          <cell r="C18">
            <v>1.6922044164430141</v>
          </cell>
          <cell r="D18">
            <v>0.96578348604467712</v>
          </cell>
          <cell r="E18">
            <v>0.40262563181085043</v>
          </cell>
        </row>
        <row r="19">
          <cell r="C19">
            <v>1.6922044164430141</v>
          </cell>
          <cell r="D19">
            <v>0.96578348604467712</v>
          </cell>
          <cell r="E19">
            <v>0.40262563181085043</v>
          </cell>
          <cell r="F19">
            <v>-9.5073669968059021E-2</v>
          </cell>
          <cell r="G19">
            <v>-0.33788272076773845</v>
          </cell>
          <cell r="H19">
            <v>-0.36773149046632625</v>
          </cell>
        </row>
        <row r="20">
          <cell r="C20">
            <v>1.3609590596281982</v>
          </cell>
          <cell r="D20">
            <v>0.73048116700342203</v>
          </cell>
          <cell r="E20">
            <v>0.289468017046141</v>
          </cell>
        </row>
        <row r="21">
          <cell r="C21">
            <v>1.3609590596281982</v>
          </cell>
          <cell r="D21">
            <v>0.73048116700342203</v>
          </cell>
          <cell r="E21">
            <v>0.289468017046141</v>
          </cell>
          <cell r="F21">
            <v>7.2992387414994231E-3</v>
          </cell>
          <cell r="G21">
            <v>-0.15175868101540138</v>
          </cell>
          <cell r="H21">
            <v>-8.1734479147079122E-3</v>
          </cell>
        </row>
        <row r="22">
          <cell r="C22">
            <v>0.48466170117738921</v>
          </cell>
          <cell r="D22">
            <v>4.3395584089776056E-2</v>
          </cell>
          <cell r="E22">
            <v>-0.2406523134390619</v>
          </cell>
        </row>
        <row r="23">
          <cell r="C23">
            <v>0.48466170117738921</v>
          </cell>
          <cell r="D23">
            <v>4.3395584089776056E-2</v>
          </cell>
          <cell r="E23">
            <v>-0.2406523134390619</v>
          </cell>
          <cell r="F23">
            <v>-0.3997841493704079</v>
          </cell>
          <cell r="G23">
            <v>-0.41674357249474331</v>
          </cell>
          <cell r="H23">
            <v>-0.13236275468750691</v>
          </cell>
        </row>
        <row r="24">
          <cell r="C24">
            <v>1.0720067508031494</v>
          </cell>
          <cell r="D24">
            <v>0.50537994627968952</v>
          </cell>
          <cell r="E24">
            <v>0.14822608073392973</v>
          </cell>
        </row>
        <row r="25">
          <cell r="C25">
            <v>1.0720067508031494</v>
          </cell>
          <cell r="D25">
            <v>0.50537994627968952</v>
          </cell>
          <cell r="E25">
            <v>0.14822608073392973</v>
          </cell>
          <cell r="F25">
            <v>-8.332305042750987E-2</v>
          </cell>
          <cell r="G25">
            <v>-0.18202028604793691</v>
          </cell>
          <cell r="H25">
            <v>0.24156336312028873</v>
          </cell>
        </row>
        <row r="26">
          <cell r="C26">
            <v>0.80652488027487035</v>
          </cell>
          <cell r="D26">
            <v>0.34409240407044051</v>
          </cell>
          <cell r="E26">
            <v>1.2336679433113527E-2</v>
          </cell>
        </row>
        <row r="27">
          <cell r="C27">
            <v>0.80652488027487035</v>
          </cell>
          <cell r="D27">
            <v>0.34409240407044051</v>
          </cell>
          <cell r="E27">
            <v>1.2336679433113527E-2</v>
          </cell>
          <cell r="F27">
            <v>-0.18878864873043547</v>
          </cell>
          <cell r="G27">
            <v>-0.24322211077080541</v>
          </cell>
          <cell r="H27">
            <v>-8.4215742379850689E-2</v>
          </cell>
        </row>
        <row r="28">
          <cell r="B28" t="str">
            <v>extrapolated</v>
          </cell>
          <cell r="C28">
            <v>0.72566250705560087</v>
          </cell>
          <cell r="D28">
            <v>0.23389914394885691</v>
          </cell>
          <cell r="E28">
            <v>-0.15280391493005155</v>
          </cell>
        </row>
        <row r="29">
          <cell r="B29" t="str">
            <v>experimental</v>
          </cell>
          <cell r="C29">
            <v>0.72566250705560087</v>
          </cell>
          <cell r="D29">
            <v>0.23389914394885691</v>
          </cell>
          <cell r="E29">
            <v>-0.15280391493005155</v>
          </cell>
          <cell r="F29">
            <v>-0.4343922777936145</v>
          </cell>
          <cell r="G29">
            <v>-0.54554272991628128</v>
          </cell>
          <cell r="H29">
            <v>-0.5253393438279943</v>
          </cell>
        </row>
        <row r="30">
          <cell r="C30">
            <v>1.4099617641122528</v>
          </cell>
          <cell r="D30">
            <v>0.7946416182267183</v>
          </cell>
          <cell r="E30">
            <v>0.4095606211961797</v>
          </cell>
        </row>
        <row r="31">
          <cell r="C31">
            <v>1.4099617641122528</v>
          </cell>
          <cell r="D31">
            <v>0.7946416182267183</v>
          </cell>
          <cell r="E31">
            <v>0.4095606211961797</v>
          </cell>
          <cell r="F31">
            <v>0.14612803567823801</v>
          </cell>
          <cell r="G31">
            <v>-2.1889150385982735E-2</v>
          </cell>
          <cell r="H31">
            <v>0.19104346202570624</v>
          </cell>
        </row>
        <row r="32">
          <cell r="C32">
            <v>-0.23177591284936744</v>
          </cell>
          <cell r="D32">
            <v>-0.49209841068931504</v>
          </cell>
          <cell r="E32">
            <v>-0.68094690020274617</v>
          </cell>
        </row>
        <row r="33">
          <cell r="C33">
            <v>-0.23177591284936744</v>
          </cell>
          <cell r="D33">
            <v>-0.49209841068931504</v>
          </cell>
          <cell r="E33">
            <v>-0.68094690020274617</v>
          </cell>
          <cell r="F33">
            <v>-0.77962593594964946</v>
          </cell>
          <cell r="G33">
            <v>-0.68094690020274617</v>
          </cell>
          <cell r="H33">
            <v>-0.62472397596390605</v>
          </cell>
        </row>
        <row r="34">
          <cell r="C34">
            <v>0.14454782357012569</v>
          </cell>
          <cell r="D34">
            <v>-0.2330329165688699</v>
          </cell>
          <cell r="E34">
            <v>-0.4548816661852263</v>
          </cell>
        </row>
        <row r="35">
          <cell r="C35">
            <v>0.14454782357012569</v>
          </cell>
          <cell r="D35">
            <v>-0.2330329165688699</v>
          </cell>
          <cell r="E35">
            <v>-0.4548816661852263</v>
          </cell>
          <cell r="F35">
            <v>-0.46122184421624524</v>
          </cell>
          <cell r="G35">
            <v>-0.13136552237355809</v>
          </cell>
          <cell r="H35">
            <v>-1.3729120029701061</v>
          </cell>
        </row>
        <row r="36">
          <cell r="C36">
            <v>0.13548303016294647</v>
          </cell>
          <cell r="D36">
            <v>-0.18539128213364348</v>
          </cell>
          <cell r="E36">
            <v>-0.36945147086060004</v>
          </cell>
        </row>
        <row r="37">
          <cell r="C37">
            <v>0.13548303016294647</v>
          </cell>
          <cell r="D37">
            <v>-0.18539128213364348</v>
          </cell>
          <cell r="E37">
            <v>-0.36945147086060004</v>
          </cell>
          <cell r="F37">
            <v>-0.47859594028566793</v>
          </cell>
          <cell r="G37">
            <v>-0.4053640267512445</v>
          </cell>
          <cell r="H37">
            <v>0.19575897503979017</v>
          </cell>
        </row>
        <row r="38">
          <cell r="C38">
            <v>0.29659083113423657</v>
          </cell>
          <cell r="D38">
            <v>-0.14553956068047022</v>
          </cell>
          <cell r="E38">
            <v>-0.49901040510564509</v>
          </cell>
        </row>
        <row r="39">
          <cell r="C39">
            <v>0.29659083113423657</v>
          </cell>
          <cell r="D39">
            <v>-0.14553956068047022</v>
          </cell>
          <cell r="E39">
            <v>-0.49901040510564509</v>
          </cell>
          <cell r="F39">
            <v>-0.72552903285548687</v>
          </cell>
          <cell r="G39">
            <v>-0.6535807159863799</v>
          </cell>
          <cell r="H39">
            <v>-0.44043823829295314</v>
          </cell>
        </row>
        <row r="40">
          <cell r="C40">
            <v>-8.2432189639433481E-2</v>
          </cell>
          <cell r="D40">
            <v>-0.43239551803753917</v>
          </cell>
          <cell r="E40">
            <v>-0.65027808043629431</v>
          </cell>
        </row>
        <row r="41">
          <cell r="C41">
            <v>-8.2432189639433481E-2</v>
          </cell>
          <cell r="D41">
            <v>-0.43239551803753917</v>
          </cell>
          <cell r="E41">
            <v>-0.65027808043629431</v>
          </cell>
          <cell r="F41">
            <v>-0.58900842369737161</v>
          </cell>
          <cell r="G41">
            <v>-0.19451066143635132</v>
          </cell>
          <cell r="H41">
            <v>-0.79772415804244512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thod"/>
      <sheetName val="Summary"/>
      <sheetName val="Graph"/>
      <sheetName val="Calculations"/>
      <sheetName val="Raw data"/>
    </sheetNames>
    <sheetDataSet>
      <sheetData sheetId="0"/>
      <sheetData sheetId="1"/>
      <sheetData sheetId="2"/>
      <sheetData sheetId="3"/>
      <sheetData sheetId="4">
        <row r="3">
          <cell r="C3">
            <v>50</v>
          </cell>
          <cell r="D3">
            <v>60</v>
          </cell>
          <cell r="E3">
            <v>70</v>
          </cell>
          <cell r="F3">
            <v>80</v>
          </cell>
          <cell r="G3">
            <v>90</v>
          </cell>
          <cell r="H3">
            <v>100</v>
          </cell>
        </row>
        <row r="8">
          <cell r="C8">
            <v>0.46186282286893671</v>
          </cell>
          <cell r="D8">
            <v>0.13262556527459088</v>
          </cell>
          <cell r="E8">
            <v>-5.008748138281064E-2</v>
          </cell>
          <cell r="F8">
            <v>-0.12493873660830009</v>
          </cell>
          <cell r="G8">
            <v>-0.12082217041346793</v>
          </cell>
          <cell r="H8">
            <v>0.71270981575034742</v>
          </cell>
        </row>
        <row r="9">
          <cell r="C9">
            <v>1.3117160288782048</v>
          </cell>
          <cell r="D9">
            <v>0.83501074696242217</v>
          </cell>
          <cell r="E9">
            <v>0.5471591213274174</v>
          </cell>
          <cell r="F9">
            <v>0.30489041647721921</v>
          </cell>
          <cell r="G9">
            <v>0.141673694251988</v>
          </cell>
          <cell r="H9">
            <v>0.61972671178755212</v>
          </cell>
        </row>
        <row r="10">
          <cell r="C10">
            <v>1.3906828303133034</v>
          </cell>
          <cell r="D10">
            <v>0.8853814155478914</v>
          </cell>
          <cell r="E10">
            <v>0.55435934548128507</v>
          </cell>
          <cell r="F10">
            <v>0.29986514610940862</v>
          </cell>
          <cell r="G10">
            <v>6.2044490988883545E-2</v>
          </cell>
          <cell r="H10">
            <v>0.25870568094169999</v>
          </cell>
        </row>
        <row r="12">
          <cell r="C12">
            <v>0.46744953642886122</v>
          </cell>
          <cell r="D12">
            <v>4.3502622013917504E-2</v>
          </cell>
          <cell r="E12">
            <v>-0.16612466409449181</v>
          </cell>
          <cell r="F12">
            <v>-0.32658410013636957</v>
          </cell>
          <cell r="G12">
            <v>-0.3450675058303827</v>
          </cell>
          <cell r="H12">
            <v>-0.22574379349988064</v>
          </cell>
        </row>
        <row r="14">
          <cell r="C14">
            <v>0.25955975099453948</v>
          </cell>
          <cell r="D14">
            <v>-5.9768205003489845E-2</v>
          </cell>
          <cell r="E14">
            <v>-0.18708664335714448</v>
          </cell>
          <cell r="F14">
            <v>-0.22055812613486189</v>
          </cell>
          <cell r="G14">
            <v>-1.3388197417353569E-2</v>
          </cell>
          <cell r="H14">
            <v>-0.34851430552516233</v>
          </cell>
        </row>
        <row r="15">
          <cell r="C15">
            <v>1.475255992803415</v>
          </cell>
          <cell r="D15">
            <v>0.92584597342505448</v>
          </cell>
          <cell r="E15">
            <v>0.53170695300543758</v>
          </cell>
          <cell r="F15">
            <v>0.22122788534778084</v>
          </cell>
          <cell r="G15">
            <v>-7.0364281544154405E-3</v>
          </cell>
          <cell r="H15">
            <v>-7.240968533211542E-2</v>
          </cell>
        </row>
        <row r="16">
          <cell r="C16">
            <v>-0.27251683868177085</v>
          </cell>
          <cell r="D16">
            <v>-0.53334417895850272</v>
          </cell>
          <cell r="E16">
            <v>-0.5606673061697377</v>
          </cell>
          <cell r="F16">
            <v>-0.48811663902112584</v>
          </cell>
          <cell r="G16">
            <v>-0.12390593117053224</v>
          </cell>
          <cell r="H16">
            <v>-1.0492180226701822</v>
          </cell>
        </row>
        <row r="17">
          <cell r="C17">
            <v>1.8543277342903786</v>
          </cell>
          <cell r="D17">
            <v>1.237911598048929</v>
          </cell>
          <cell r="E17">
            <v>0.81647803724588897</v>
          </cell>
          <cell r="F17">
            <v>0.47060997110553704</v>
          </cell>
          <cell r="G17">
            <v>0.17245697440058713</v>
          </cell>
          <cell r="H17">
            <v>-2.2276394711152253E-2</v>
          </cell>
        </row>
        <row r="18">
          <cell r="C18">
            <v>0.27547589119159305</v>
          </cell>
          <cell r="D18">
            <v>-9.7880503874264155E-2</v>
          </cell>
          <cell r="E18">
            <v>-0.28280517555778228</v>
          </cell>
          <cell r="F18">
            <v>-0.43012469204343901</v>
          </cell>
          <cell r="G18">
            <v>-0.39025318000574671</v>
          </cell>
          <cell r="H18">
            <v>3.1408464251624031E-2</v>
          </cell>
        </row>
        <row r="19">
          <cell r="C19">
            <v>1.2686782438227744</v>
          </cell>
          <cell r="D19">
            <v>0.72617394902643029</v>
          </cell>
          <cell r="E19">
            <v>0.40987276693040475</v>
          </cell>
          <cell r="F19">
            <v>0.15652751827248046</v>
          </cell>
          <cell r="G19">
            <v>-2.0646769977644024E-2</v>
          </cell>
          <cell r="H19">
            <v>1.8967839075979966E-2</v>
          </cell>
        </row>
        <row r="20">
          <cell r="C20">
            <v>0.11274859369389324</v>
          </cell>
          <cell r="D20">
            <v>0.11274859369389324</v>
          </cell>
          <cell r="E20">
            <v>-0.35902194264166798</v>
          </cell>
          <cell r="F20">
            <v>-0.44499196958571169</v>
          </cell>
          <cell r="G20">
            <v>-0.35549107374653477</v>
          </cell>
          <cell r="H20">
            <v>-1.8213741306644896E-2</v>
          </cell>
        </row>
        <row r="21">
          <cell r="C21">
            <v>1.3151828665795038</v>
          </cell>
          <cell r="D21">
            <v>0.72806376900083303</v>
          </cell>
          <cell r="E21">
            <v>0.34628310163544423</v>
          </cell>
          <cell r="F21">
            <v>4.7691990337874732E-2</v>
          </cell>
          <cell r="G21">
            <v>-0.17998630293920542</v>
          </cell>
          <cell r="H21">
            <v>-0.22184874961635648</v>
          </cell>
        </row>
        <row r="22">
          <cell r="C22">
            <v>1.7958179708432334</v>
          </cell>
          <cell r="D22">
            <v>1.2736212500161395</v>
          </cell>
          <cell r="E22">
            <v>0.93853759406834181</v>
          </cell>
          <cell r="F22">
            <v>0.65027282260202279</v>
          </cell>
          <cell r="G22">
            <v>0.44017789905694787</v>
          </cell>
          <cell r="H22">
            <v>0.59502356317354699</v>
          </cell>
        </row>
        <row r="23">
          <cell r="C23">
            <v>1.594589840381047</v>
          </cell>
          <cell r="D23">
            <v>1.0209676637081984</v>
          </cell>
          <cell r="E23">
            <v>0.67962254566978975</v>
          </cell>
          <cell r="F23">
            <v>0.39011467116008103</v>
          </cell>
          <cell r="G23">
            <v>0.18932986501114613</v>
          </cell>
          <cell r="H23">
            <v>0.48302662095640059</v>
          </cell>
        </row>
        <row r="24">
          <cell r="C24">
            <v>1.3011463089660833</v>
          </cell>
          <cell r="D24">
            <v>0.76569515860489223</v>
          </cell>
          <cell r="E24">
            <v>0.44354236635665589</v>
          </cell>
          <cell r="F24">
            <v>0.1687920203141817</v>
          </cell>
          <cell r="G24">
            <v>-2.1460817979628278E-2</v>
          </cell>
          <cell r="H24">
            <v>0.25656312858480057</v>
          </cell>
        </row>
        <row r="25">
          <cell r="C25">
            <v>-0.8505609357157593</v>
          </cell>
          <cell r="D25">
            <v>-1.2430380486862955</v>
          </cell>
          <cell r="E25">
            <v>-0.86737443472540932</v>
          </cell>
          <cell r="F25">
            <v>-0.82910993463012672</v>
          </cell>
          <cell r="G25">
            <v>-0.59285198954113894</v>
          </cell>
          <cell r="H25">
            <v>-1.0492180226701822</v>
          </cell>
        </row>
        <row r="26">
          <cell r="C26">
            <v>0.72719256613716077</v>
          </cell>
          <cell r="D26">
            <v>0.33710255122386451</v>
          </cell>
          <cell r="E26">
            <v>8.8136088700551229E-2</v>
          </cell>
          <cell r="F26">
            <v>-4.2324314722281216E-2</v>
          </cell>
          <cell r="G26">
            <v>1.0723865391772973E-2</v>
          </cell>
          <cell r="H26">
            <v>-0.94884747755261911</v>
          </cell>
        </row>
        <row r="27">
          <cell r="C27">
            <v>1.0628504815980153</v>
          </cell>
          <cell r="D27">
            <v>0.6592028774645311</v>
          </cell>
          <cell r="E27">
            <v>0.41705629911911041</v>
          </cell>
          <cell r="F27">
            <v>0.2680093265062386</v>
          </cell>
          <cell r="G27">
            <v>0.27465258387032737</v>
          </cell>
          <cell r="H27">
            <v>1.023472932342687</v>
          </cell>
        </row>
        <row r="28">
          <cell r="C28">
            <v>-9.4074685218312731E-3</v>
          </cell>
          <cell r="D28">
            <v>-0.29486968695916294</v>
          </cell>
          <cell r="E28">
            <v>-0.35024801833416286</v>
          </cell>
          <cell r="F28">
            <v>-0.33825490367490613</v>
          </cell>
          <cell r="G28">
            <v>-3.1350303706676089E-2</v>
          </cell>
          <cell r="H28">
            <v>-0.38083210598018152</v>
          </cell>
        </row>
        <row r="29">
          <cell r="B29" t="str">
            <v>AZ14438269-001</v>
          </cell>
          <cell r="C29">
            <v>0.898803510470922</v>
          </cell>
          <cell r="D29">
            <v>0.49757132896107648</v>
          </cell>
          <cell r="E29">
            <v>0.2281619519970729</v>
          </cell>
          <cell r="F29">
            <v>1.2987786149530967E-2</v>
          </cell>
          <cell r="G29">
            <v>-8.1670046451319631E-2</v>
          </cell>
          <cell r="H29">
            <v>0.43222460583212341</v>
          </cell>
        </row>
        <row r="30">
          <cell r="C30">
            <v>1.1164416975393117</v>
          </cell>
          <cell r="D30">
            <v>0.70252285114071888</v>
          </cell>
          <cell r="E30">
            <v>0.44158292934067339</v>
          </cell>
          <cell r="F30">
            <v>0.190831749442466</v>
          </cell>
          <cell r="G30">
            <v>5.6632651714961804E-2</v>
          </cell>
          <cell r="H30">
            <v>0.12918331886357359</v>
          </cell>
        </row>
        <row r="31">
          <cell r="C31">
            <v>-1.4188740467813489E-2</v>
          </cell>
          <cell r="D31">
            <v>-0.32658410013636957</v>
          </cell>
          <cell r="E31">
            <v>-0.38457604711405619</v>
          </cell>
          <cell r="F31">
            <v>-0.41980842356746279</v>
          </cell>
          <cell r="G31">
            <v>-0.2498774732166</v>
          </cell>
          <cell r="H31">
            <v>0.86807737827550768</v>
          </cell>
        </row>
        <row r="32">
          <cell r="C32">
            <v>0.71823469542759144</v>
          </cell>
          <cell r="D32">
            <v>0.27465258387032737</v>
          </cell>
          <cell r="E32">
            <v>2.5598417974992953E-2</v>
          </cell>
          <cell r="F32">
            <v>-0.17415675927848159</v>
          </cell>
          <cell r="G32">
            <v>-0.22704994330216421</v>
          </cell>
          <cell r="H32">
            <v>0.24037092987241507</v>
          </cell>
        </row>
        <row r="33">
          <cell r="C33">
            <v>0.62195482004490155</v>
          </cell>
          <cell r="D33">
            <v>0.25998615700022593</v>
          </cell>
          <cell r="E33">
            <v>2.705823273403583E-2</v>
          </cell>
          <cell r="F33">
            <v>-0.15159093137974036</v>
          </cell>
          <cell r="G33">
            <v>-0.1930935784278813</v>
          </cell>
          <cell r="H33">
            <v>4.1392685158224904E-2</v>
          </cell>
        </row>
        <row r="34">
          <cell r="C34">
            <v>-8.6156825561086239E-3</v>
          </cell>
          <cell r="D34">
            <v>-0.26962153141235717</v>
          </cell>
          <cell r="E34">
            <v>-0.32988673568645516</v>
          </cell>
          <cell r="F34">
            <v>-0.33154751966791968</v>
          </cell>
          <cell r="G34">
            <v>-0.1418066618955956</v>
          </cell>
          <cell r="H34">
            <v>-0.96285819199543377</v>
          </cell>
        </row>
        <row r="35">
          <cell r="C35">
            <v>1.5924543505545048</v>
          </cell>
          <cell r="D35">
            <v>1.1787200746992352</v>
          </cell>
          <cell r="E35">
            <v>0.77724552642261957</v>
          </cell>
          <cell r="F35">
            <v>0.55435934548128507</v>
          </cell>
          <cell r="G35">
            <v>0.35458858787724085</v>
          </cell>
          <cell r="H35">
            <v>0.91963835194451071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thod"/>
      <sheetName val="Summary"/>
      <sheetName val="Graph"/>
      <sheetName val="Calculations"/>
      <sheetName val="Raw data"/>
    </sheetNames>
    <sheetDataSet>
      <sheetData sheetId="0"/>
      <sheetData sheetId="1"/>
      <sheetData sheetId="2"/>
      <sheetData sheetId="3"/>
      <sheetData sheetId="4">
        <row r="3">
          <cell r="C3">
            <v>50</v>
          </cell>
          <cell r="D3">
            <v>60</v>
          </cell>
          <cell r="E3">
            <v>70</v>
          </cell>
          <cell r="F3">
            <v>80</v>
          </cell>
          <cell r="G3">
            <v>90</v>
          </cell>
          <cell r="H3">
            <v>100</v>
          </cell>
        </row>
        <row r="4">
          <cell r="C4">
            <v>1.56029173672943</v>
          </cell>
          <cell r="D4">
            <v>1.0893661730266124</v>
          </cell>
          <cell r="E4">
            <v>0.73982701939006579</v>
          </cell>
          <cell r="F4">
            <v>0.47490734432513282</v>
          </cell>
          <cell r="G4">
            <v>0.223904932945484</v>
          </cell>
          <cell r="H4">
            <v>0.41695062707627512</v>
          </cell>
        </row>
        <row r="5">
          <cell r="C5">
            <v>1.0201364634466716</v>
          </cell>
          <cell r="D5">
            <v>0.55834240344630703</v>
          </cell>
          <cell r="E5">
            <v>0.25486337225919647</v>
          </cell>
          <cell r="F5">
            <v>1.6608462876270914E-2</v>
          </cell>
          <cell r="G5">
            <v>-0.11284061498503181</v>
          </cell>
          <cell r="H5">
            <v>-2.2139103945296307E-3</v>
          </cell>
        </row>
        <row r="6">
          <cell r="C6">
            <v>0.63958777456820237</v>
          </cell>
          <cell r="D6">
            <v>0.23001570988908285</v>
          </cell>
          <cell r="E6">
            <v>-1.6503675931125353E-2</v>
          </cell>
          <cell r="F6">
            <v>-0.18426470697038921</v>
          </cell>
          <cell r="G6">
            <v>-0.25630425898185799</v>
          </cell>
          <cell r="H6">
            <v>-6.3281835544207701E-2</v>
          </cell>
        </row>
        <row r="7">
          <cell r="C7">
            <v>0.80015766066716087</v>
          </cell>
          <cell r="D7">
            <v>0.36076665270698138</v>
          </cell>
          <cell r="E7">
            <v>7.5485100487661133E-2</v>
          </cell>
          <cell r="F7">
            <v>-0.15595479560900954</v>
          </cell>
          <cell r="G7">
            <v>-0.28655217229535829</v>
          </cell>
          <cell r="H7">
            <v>0.19246349974396706</v>
          </cell>
        </row>
        <row r="9">
          <cell r="C9">
            <v>-0.41674357249474331</v>
          </cell>
          <cell r="D9">
            <v>-0.80706418429658855</v>
          </cell>
          <cell r="E9">
            <v>-1.0896107742665566</v>
          </cell>
          <cell r="F9">
            <v>-0.82636933949197511</v>
          </cell>
          <cell r="G9">
            <v>-0.51799898066225092</v>
          </cell>
          <cell r="H9">
            <v>-1.5404030902638699</v>
          </cell>
        </row>
        <row r="10">
          <cell r="C10">
            <v>-0.25102401786642536</v>
          </cell>
          <cell r="D10">
            <v>-0.55074392360208901</v>
          </cell>
          <cell r="E10">
            <v>-0.72552903285548687</v>
          </cell>
          <cell r="F10">
            <v>-0.77085201164214423</v>
          </cell>
          <cell r="G10">
            <v>-0.4852947026343703</v>
          </cell>
          <cell r="H10">
            <v>-1.8166095022028188</v>
          </cell>
        </row>
        <row r="11">
          <cell r="C11">
            <v>-0.13037057467172236</v>
          </cell>
          <cell r="D11">
            <v>-0.385245738043832</v>
          </cell>
          <cell r="E11">
            <v>-0.44656955634445133</v>
          </cell>
          <cell r="F11">
            <v>-0.4763857854805511</v>
          </cell>
          <cell r="G11">
            <v>-0.364311831208189</v>
          </cell>
          <cell r="H11">
            <v>0.30796717145670444</v>
          </cell>
        </row>
        <row r="12">
          <cell r="C12">
            <v>8.0224603605954427E-3</v>
          </cell>
          <cell r="D12">
            <v>-0.26434697923727207</v>
          </cell>
          <cell r="E12">
            <v>-0.4053640267512445</v>
          </cell>
          <cell r="F12">
            <v>-0.44247240820340628</v>
          </cell>
          <cell r="G12">
            <v>-0.28371363616495759</v>
          </cell>
          <cell r="H12">
            <v>0.65419286290924472</v>
          </cell>
        </row>
        <row r="13">
          <cell r="C13">
            <v>1.5978252837706415</v>
          </cell>
          <cell r="D13">
            <v>1.203244992151987</v>
          </cell>
          <cell r="E13">
            <v>0.87378349212600881</v>
          </cell>
          <cell r="F13">
            <v>0.58152348335837589</v>
          </cell>
          <cell r="G13">
            <v>0.35754725707566226</v>
          </cell>
          <cell r="H13">
            <v>0.8856295041483544</v>
          </cell>
        </row>
        <row r="14">
          <cell r="C14">
            <v>1.378951926584878</v>
          </cell>
          <cell r="D14">
            <v>0.91183446660762402</v>
          </cell>
          <cell r="E14">
            <v>0.54574729045171666</v>
          </cell>
          <cell r="F14">
            <v>0.31763845854025202</v>
          </cell>
          <cell r="G14">
            <v>9.0682399216893653E-2</v>
          </cell>
          <cell r="H14">
            <v>0.10304958622231725</v>
          </cell>
        </row>
        <row r="15">
          <cell r="C15">
            <v>-1.1273993351559564</v>
          </cell>
          <cell r="D15">
            <v>0.86372601121174386</v>
          </cell>
          <cell r="E15">
            <v>0.51605334133023073</v>
          </cell>
          <cell r="F15">
            <v>0.18339049779718072</v>
          </cell>
          <cell r="G15">
            <v>-5.3181508639881907E-2</v>
          </cell>
          <cell r="H15">
            <v>-0.16232597806495005</v>
          </cell>
        </row>
        <row r="16">
          <cell r="C16">
            <v>-0.16554696550103468</v>
          </cell>
          <cell r="D16">
            <v>-0.3961036656320403</v>
          </cell>
          <cell r="E16">
            <v>-0.59187506434897463</v>
          </cell>
          <cell r="F16">
            <v>-0.57495235923291033</v>
          </cell>
          <cell r="G16">
            <v>-0.37640033081592789</v>
          </cell>
          <cell r="H16">
            <v>0.76190236735035355</v>
          </cell>
        </row>
        <row r="17">
          <cell r="C17">
            <v>1.1821340535549114</v>
          </cell>
          <cell r="D17">
            <v>0.79922369367946</v>
          </cell>
          <cell r="E17">
            <v>0.55773143807205783</v>
          </cell>
          <cell r="F17">
            <v>0.36268689672807336</v>
          </cell>
          <cell r="G17">
            <v>0.25033728742779382</v>
          </cell>
          <cell r="H17">
            <v>0.75857834272484181</v>
          </cell>
        </row>
        <row r="18">
          <cell r="C18">
            <v>-0.47859594028566793</v>
          </cell>
          <cell r="D18">
            <v>-0.81181061932105014</v>
          </cell>
          <cell r="E18">
            <v>-0.90162029191116766</v>
          </cell>
          <cell r="F18">
            <v>-0.81181061932105014</v>
          </cell>
          <cell r="G18">
            <v>-0.47418682138061291</v>
          </cell>
          <cell r="H18">
            <v>-1.4920984106893147</v>
          </cell>
        </row>
        <row r="19">
          <cell r="C19">
            <v>-0.1633969884274756</v>
          </cell>
          <cell r="D19">
            <v>-0.4343922777936145</v>
          </cell>
          <cell r="E19">
            <v>-0.44656955634445133</v>
          </cell>
          <cell r="F19">
            <v>-0.48081740027962605</v>
          </cell>
          <cell r="G19">
            <v>-0.29663574756588884</v>
          </cell>
          <cell r="H19">
            <v>0.75315443391522841</v>
          </cell>
        </row>
        <row r="20">
          <cell r="C20">
            <v>-0.37291200297010657</v>
          </cell>
          <cell r="D20">
            <v>-0.73342551370152065</v>
          </cell>
          <cell r="E20">
            <v>-0.99270076125850015</v>
          </cell>
          <cell r="F20">
            <v>-0.77962593594964946</v>
          </cell>
          <cell r="G20">
            <v>-0.74966271257220618</v>
          </cell>
          <cell r="H20">
            <v>0.5451183338147737</v>
          </cell>
        </row>
        <row r="21">
          <cell r="C21">
            <v>0.81064253064875513</v>
          </cell>
          <cell r="D21">
            <v>0.34409240407044051</v>
          </cell>
          <cell r="E21">
            <v>-2.8126880337445884E-2</v>
          </cell>
          <cell r="F21">
            <v>-0.24322211077080541</v>
          </cell>
          <cell r="G21">
            <v>-0.42254714859398351</v>
          </cell>
          <cell r="H21">
            <v>-0.49901040510564509</v>
          </cell>
        </row>
        <row r="22">
          <cell r="C22">
            <v>1.068248771065009</v>
          </cell>
          <cell r="D22">
            <v>-0.24193531136448931</v>
          </cell>
          <cell r="E22">
            <v>-0.33151931781188149</v>
          </cell>
          <cell r="F22">
            <v>-0.3129701149081518</v>
          </cell>
          <cell r="G22">
            <v>1.3765280990731278E-2</v>
          </cell>
          <cell r="H22">
            <v>-1.0806559316136302</v>
          </cell>
        </row>
        <row r="23">
          <cell r="C23">
            <v>1.4250753019550804</v>
          </cell>
          <cell r="D23">
            <v>0.87672654257031102</v>
          </cell>
          <cell r="E23">
            <v>0.50652796302511049</v>
          </cell>
          <cell r="F23">
            <v>0.24240665364137243</v>
          </cell>
          <cell r="G23">
            <v>2.8488537811437533E-2</v>
          </cell>
          <cell r="H23">
            <v>-2.3440203755720819E-2</v>
          </cell>
        </row>
        <row r="24">
          <cell r="C24">
            <v>1.4391185050671993</v>
          </cell>
          <cell r="D24">
            <v>0.97359744580465435</v>
          </cell>
          <cell r="E24">
            <v>0.67816330470564223</v>
          </cell>
          <cell r="F24">
            <v>0.44106907266636519</v>
          </cell>
          <cell r="G24">
            <v>0.29621884440322593</v>
          </cell>
          <cell r="H24">
            <v>-1.4920984106893147</v>
          </cell>
        </row>
        <row r="26">
          <cell r="C26">
            <v>1.0692540828146135</v>
          </cell>
          <cell r="D26">
            <v>0.66243767355288163</v>
          </cell>
          <cell r="E26">
            <v>0.35299962932494167</v>
          </cell>
          <cell r="F26">
            <v>0.22037406405035073</v>
          </cell>
          <cell r="G26">
            <v>0.24784848702409917</v>
          </cell>
          <cell r="H26">
            <v>1.1708581372995022</v>
          </cell>
        </row>
        <row r="27">
          <cell r="C27">
            <v>-0.42449903719150534</v>
          </cell>
          <cell r="D27">
            <v>-0.84657272558026209</v>
          </cell>
          <cell r="E27">
            <v>-1.1373835560625571</v>
          </cell>
          <cell r="F27">
            <v>-0.86776202465020014</v>
          </cell>
          <cell r="G27">
            <v>-0.50603418863260763</v>
          </cell>
          <cell r="H27">
            <v>-1.2794903178078711</v>
          </cell>
        </row>
        <row r="28">
          <cell r="C28">
            <v>-0.4186694935307817</v>
          </cell>
          <cell r="D28">
            <v>-0.76653063785950171</v>
          </cell>
          <cell r="E28">
            <v>-0.99999999999999967</v>
          </cell>
          <cell r="F28">
            <v>-0.80236906308820866</v>
          </cell>
          <cell r="G28">
            <v>-0.44656955634445133</v>
          </cell>
          <cell r="H28">
            <v>-1.5404030902638699</v>
          </cell>
        </row>
        <row r="29">
          <cell r="C29">
            <v>-0.29228551604830078</v>
          </cell>
          <cell r="D29">
            <v>-0.68449218096739595</v>
          </cell>
          <cell r="E29">
            <v>-0.85177391926606982</v>
          </cell>
          <cell r="F29">
            <v>-0.77962593594964946</v>
          </cell>
          <cell r="G29">
            <v>-0.4763857854805511</v>
          </cell>
          <cell r="H29">
            <v>-1.3394882474831564</v>
          </cell>
        </row>
        <row r="30">
          <cell r="C30">
            <v>-0.2280265846829643</v>
          </cell>
          <cell r="D30">
            <v>-0.66364204199427579</v>
          </cell>
          <cell r="E30">
            <v>-1.1910684150253337</v>
          </cell>
          <cell r="F30">
            <v>-0.9646720376582566</v>
          </cell>
          <cell r="G30">
            <v>-0.9715114621885621</v>
          </cell>
          <cell r="H30">
            <v>-1.1373835560625571</v>
          </cell>
        </row>
        <row r="31">
          <cell r="C31">
            <v>0.9188119533736262</v>
          </cell>
          <cell r="D31">
            <v>0.4450498015618875</v>
          </cell>
          <cell r="E31">
            <v>5.9094684299491794E-2</v>
          </cell>
          <cell r="F31">
            <v>-0.18539128213364348</v>
          </cell>
          <cell r="G31">
            <v>-0.36091888831084962</v>
          </cell>
          <cell r="H31">
            <v>-0.43040789680202568</v>
          </cell>
        </row>
        <row r="32">
          <cell r="C32">
            <v>-0.51078062365706933</v>
          </cell>
          <cell r="D32">
            <v>-0.76653063785950171</v>
          </cell>
          <cell r="E32">
            <v>-0.87322492035170229</v>
          </cell>
          <cell r="F32">
            <v>-0.67743032647990908</v>
          </cell>
          <cell r="G32">
            <v>-0.33310144882175619</v>
          </cell>
          <cell r="H32">
            <v>0.76482179178360588</v>
          </cell>
        </row>
        <row r="34">
          <cell r="C34">
            <v>-0.27530767409569562</v>
          </cell>
          <cell r="D34">
            <v>-0.42842933081993778</v>
          </cell>
          <cell r="E34">
            <v>-0.603534676893968</v>
          </cell>
          <cell r="F34">
            <v>-0.45070572553109001</v>
          </cell>
          <cell r="G34">
            <v>-0.18202028604793691</v>
          </cell>
          <cell r="H34" t="e">
            <v>#NUM!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D129FC-8E8D-4A8C-9F5E-14BD7F69035B}" name="Table1" displayName="Table1" ref="A1:P69" totalsRowShown="0" headerRowDxfId="18" dataDxfId="17" tableBorderDxfId="16">
  <autoFilter ref="A1:P69" xr:uid="{C4D129FC-8E8D-4A8C-9F5E-14BD7F69035B}"/>
  <sortState xmlns:xlrd2="http://schemas.microsoft.com/office/spreadsheetml/2017/richdata2" ref="A2:P69">
    <sortCondition ref="A1:A69"/>
  </sortState>
  <tableColumns count="16">
    <tableColumn id="24" xr3:uid="{0C21B093-09E2-4CAB-A1F6-0A1E589C8024}" name="Compound ID" dataDxfId="15"/>
    <tableColumn id="3" xr3:uid="{EC073A18-521E-46B8-8462-98F01AEDFC46}" name="MW" dataDxfId="14"/>
    <tableColumn id="9" xr3:uid="{2A63A3AE-0DC1-48E3-B63F-9AA9A5D359D5}" name="pKa Base 1" dataDxfId="13"/>
    <tableColumn id="10" xr3:uid="{F6BF3FCB-2E4D-49B9-838A-51CA6C871CC0}" name="Ion class" dataDxfId="12"/>
    <tableColumn id="12" xr3:uid="{28EBF96B-E5B8-43E5-956A-C622388EF8CF}" name="Chamelogk100" dataDxfId="11"/>
    <tableColumn id="25" xr3:uid="{057EEC24-B6B2-4E6F-B7DD-B9DE8AB34409}" name="Chamelogk90" dataDxfId="10"/>
    <tableColumn id="17" xr3:uid="{441F394E-4764-465B-A49C-96D56F2E4319}" name="curve shape annotation" dataDxfId="9"/>
    <tableColumn id="23" xr3:uid="{BE236208-5AE8-4CA2-AFCC-42F52685F611}" name="ChamelogK curve (% ACN on X axis; logK on Y axis)" dataDxfId="8"/>
    <tableColumn id="13" xr3:uid="{C46125AE-F395-460A-A2DA-5631E6862587}" name="Chromelog D" dataDxfId="7"/>
    <tableColumn id="14" xr3:uid="{C902B398-9429-461B-B4AC-86E24FB1866B}" name="ePSA" dataDxfId="6"/>
    <tableColumn id="15" xr3:uid="{ABBF8143-2C39-43D2-A64E-D86C1164B37D}" name="Ertl TPSA" dataDxfId="5"/>
    <tableColumn id="16" xr3:uid="{6D0F660B-F201-45D3-98C6-4F15B8F3E75A}" name="ETR" dataDxfId="4"/>
    <tableColumn id="18" xr3:uid="{F16F7207-1E50-499A-AC6B-CE3E719D361C}" name="FeSSIF Dried DMSO solublility_x000a_(µM)_x000a_" dataDxfId="3"/>
    <tableColumn id="1" xr3:uid="{8F43F4FB-5406-4E87-9BD5-0BDD0321CC1C}" name="mouse CL (mL/min/kg)" dataDxfId="2"/>
    <tableColumn id="19" xr3:uid="{3AAD3499-533A-4B1A-944E-8A3985ED0FE8}" name="Mouse BA (%)" dataDxfId="1"/>
    <tableColumn id="20" xr3:uid="{4C2B06D8-06DA-478A-8049-8BCD51D6EC23}" name="mFab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9245A-7DF9-49B2-838D-86FE16892807}">
  <dimension ref="A1:E12"/>
  <sheetViews>
    <sheetView topLeftCell="A2" workbookViewId="0">
      <selection sqref="A1:A1048576"/>
    </sheetView>
  </sheetViews>
  <sheetFormatPr defaultRowHeight="15"/>
  <cols>
    <col min="1" max="1" width="18.28515625" customWidth="1"/>
    <col min="2" max="2" width="58.85546875" customWidth="1"/>
    <col min="3" max="3" width="15" customWidth="1"/>
    <col min="4" max="4" width="64.28515625" customWidth="1"/>
    <col min="5" max="5" width="15.5703125" customWidth="1"/>
    <col min="6" max="6" width="17.28515625" customWidth="1"/>
  </cols>
  <sheetData>
    <row r="1" spans="1:5" ht="25.5" customHeight="1">
      <c r="A1" s="1" t="s">
        <v>1</v>
      </c>
      <c r="B1" s="1" t="s">
        <v>2</v>
      </c>
      <c r="C1" s="1" t="s">
        <v>3</v>
      </c>
      <c r="D1" s="2" t="s">
        <v>4</v>
      </c>
      <c r="E1" s="1" t="s">
        <v>5</v>
      </c>
    </row>
    <row r="2" spans="1:5" ht="164.25" customHeight="1">
      <c r="A2" s="3" t="s">
        <v>6</v>
      </c>
      <c r="C2" s="4">
        <v>0.8</v>
      </c>
      <c r="E2" s="4">
        <v>0.74</v>
      </c>
    </row>
    <row r="3" spans="1:5" ht="155.25" customHeight="1">
      <c r="A3" s="3" t="s">
        <v>7</v>
      </c>
      <c r="C3" s="4">
        <v>1.5</v>
      </c>
      <c r="E3" s="4">
        <v>1.1499999999999999</v>
      </c>
    </row>
    <row r="4" spans="1:5" ht="168" customHeight="1">
      <c r="A4" s="3" t="s">
        <v>8</v>
      </c>
      <c r="C4" s="4">
        <v>1</v>
      </c>
      <c r="E4" s="4">
        <v>0.33</v>
      </c>
    </row>
    <row r="5" spans="1:5" ht="171" customHeight="1">
      <c r="A5" s="3" t="s">
        <v>9</v>
      </c>
      <c r="C5" s="4">
        <v>1</v>
      </c>
      <c r="E5" s="4">
        <v>0.72</v>
      </c>
    </row>
    <row r="6" spans="1:5" ht="160.5" customHeight="1">
      <c r="A6" s="3" t="s">
        <v>10</v>
      </c>
      <c r="C6" s="4">
        <v>1.3</v>
      </c>
      <c r="E6" s="4">
        <v>1.36</v>
      </c>
    </row>
    <row r="7" spans="1:5" ht="165" customHeight="1">
      <c r="A7" s="3" t="s">
        <v>11</v>
      </c>
      <c r="C7" s="4">
        <v>0.5</v>
      </c>
      <c r="E7" s="4">
        <v>-0.22</v>
      </c>
    </row>
    <row r="8" spans="1:5" ht="165.75" customHeight="1">
      <c r="A8" s="3" t="s">
        <v>12</v>
      </c>
      <c r="C8" s="4">
        <v>0.7</v>
      </c>
      <c r="E8" s="4">
        <v>0.1</v>
      </c>
    </row>
    <row r="9" spans="1:5" ht="170.25" customHeight="1">
      <c r="A9" s="3" t="s">
        <v>13</v>
      </c>
      <c r="C9" s="4">
        <v>0.8</v>
      </c>
      <c r="E9" s="4">
        <v>0.45</v>
      </c>
    </row>
    <row r="10" spans="1:5" ht="196.5" customHeight="1">
      <c r="A10" s="3" t="s">
        <v>14</v>
      </c>
      <c r="C10" s="4">
        <v>0.9</v>
      </c>
      <c r="E10" s="4">
        <v>0.67</v>
      </c>
    </row>
    <row r="11" spans="1:5" ht="200.25" customHeight="1">
      <c r="A11" s="3" t="s">
        <v>15</v>
      </c>
      <c r="C11" s="4">
        <v>1</v>
      </c>
      <c r="E11" s="4">
        <v>1.23</v>
      </c>
    </row>
    <row r="12" spans="1:5" ht="194.25" customHeight="1">
      <c r="A12" s="3" t="s">
        <v>16</v>
      </c>
      <c r="C12" s="4">
        <v>1.2</v>
      </c>
      <c r="E12" s="4">
        <v>1.25</v>
      </c>
    </row>
  </sheetData>
  <pageMargins left="0.7" right="0.7" top="0.75" bottom="0.75" header="0.3" footer="0.3"/>
  <pageSetup paperSize="9" orientation="portrait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MDLDrawOLE.MDLDrawObject.1" shapeId="2049" r:id="rId4">
          <objectPr defaultSize="0" autoPict="0" r:id="rId5">
            <anchor moveWithCells="1">
              <from>
                <xdr:col>1</xdr:col>
                <xdr:colOff>914400</xdr:colOff>
                <xdr:row>1</xdr:row>
                <xdr:rowOff>428625</xdr:rowOff>
              </from>
              <to>
                <xdr:col>1</xdr:col>
                <xdr:colOff>2552700</xdr:colOff>
                <xdr:row>1</xdr:row>
                <xdr:rowOff>1800225</xdr:rowOff>
              </to>
            </anchor>
          </objectPr>
        </oleObject>
      </mc:Choice>
      <mc:Fallback>
        <oleObject progId="MDLDrawOLE.MDLDrawObject.1" shapeId="2049" r:id="rId4"/>
      </mc:Fallback>
    </mc:AlternateContent>
    <mc:AlternateContent xmlns:mc="http://schemas.openxmlformats.org/markup-compatibility/2006">
      <mc:Choice Requires="x14">
        <oleObject progId="MDLDrawOLE.MDLDrawObject.1" shapeId="2050" r:id="rId6">
          <objectPr defaultSize="0" autoPict="0" r:id="rId7">
            <anchor moveWithCells="1">
              <from>
                <xdr:col>1</xdr:col>
                <xdr:colOff>161925</xdr:colOff>
                <xdr:row>2</xdr:row>
                <xdr:rowOff>47625</xdr:rowOff>
              </from>
              <to>
                <xdr:col>1</xdr:col>
                <xdr:colOff>3409950</xdr:colOff>
                <xdr:row>2</xdr:row>
                <xdr:rowOff>1914525</xdr:rowOff>
              </to>
            </anchor>
          </objectPr>
        </oleObject>
      </mc:Choice>
      <mc:Fallback>
        <oleObject progId="MDLDrawOLE.MDLDrawObject.1" shapeId="2050" r:id="rId6"/>
      </mc:Fallback>
    </mc:AlternateContent>
    <mc:AlternateContent xmlns:mc="http://schemas.openxmlformats.org/markup-compatibility/2006">
      <mc:Choice Requires="x14">
        <oleObject progId="MDLDrawOLE.MDLDrawObject.1" shapeId="2051" r:id="rId8">
          <objectPr defaultSize="0" autoPict="0" r:id="rId9">
            <anchor moveWithCells="1">
              <from>
                <xdr:col>1</xdr:col>
                <xdr:colOff>1019175</xdr:colOff>
                <xdr:row>3</xdr:row>
                <xdr:rowOff>161925</xdr:rowOff>
              </from>
              <to>
                <xdr:col>1</xdr:col>
                <xdr:colOff>2457450</xdr:colOff>
                <xdr:row>3</xdr:row>
                <xdr:rowOff>1914525</xdr:rowOff>
              </to>
            </anchor>
          </objectPr>
        </oleObject>
      </mc:Choice>
      <mc:Fallback>
        <oleObject progId="MDLDrawOLE.MDLDrawObject.1" shapeId="2051" r:id="rId8"/>
      </mc:Fallback>
    </mc:AlternateContent>
    <mc:AlternateContent xmlns:mc="http://schemas.openxmlformats.org/markup-compatibility/2006">
      <mc:Choice Requires="x14">
        <oleObject progId="MDLDrawOLE.MDLDrawObject.1" shapeId="2052" r:id="rId10">
          <objectPr defaultSize="0" autoPict="0" r:id="rId11">
            <anchor moveWithCells="1">
              <from>
                <xdr:col>1</xdr:col>
                <xdr:colOff>361950</xdr:colOff>
                <xdr:row>4</xdr:row>
                <xdr:rowOff>133350</xdr:rowOff>
              </from>
              <to>
                <xdr:col>1</xdr:col>
                <xdr:colOff>3295650</xdr:colOff>
                <xdr:row>4</xdr:row>
                <xdr:rowOff>2085975</xdr:rowOff>
              </to>
            </anchor>
          </objectPr>
        </oleObject>
      </mc:Choice>
      <mc:Fallback>
        <oleObject progId="MDLDrawOLE.MDLDrawObject.1" shapeId="2052" r:id="rId10"/>
      </mc:Fallback>
    </mc:AlternateContent>
    <mc:AlternateContent xmlns:mc="http://schemas.openxmlformats.org/markup-compatibility/2006">
      <mc:Choice Requires="x14">
        <oleObject progId="MDLDrawOLE.MDLDrawObject.1" shapeId="2053" r:id="rId12">
          <objectPr defaultSize="0" autoPict="0" r:id="rId13">
            <anchor moveWithCells="1">
              <from>
                <xdr:col>1</xdr:col>
                <xdr:colOff>28575</xdr:colOff>
                <xdr:row>5</xdr:row>
                <xdr:rowOff>257175</xdr:rowOff>
              </from>
              <to>
                <xdr:col>1</xdr:col>
                <xdr:colOff>3905250</xdr:colOff>
                <xdr:row>5</xdr:row>
                <xdr:rowOff>1771650</xdr:rowOff>
              </to>
            </anchor>
          </objectPr>
        </oleObject>
      </mc:Choice>
      <mc:Fallback>
        <oleObject progId="MDLDrawOLE.MDLDrawObject.1" shapeId="2053" r:id="rId12"/>
      </mc:Fallback>
    </mc:AlternateContent>
    <mc:AlternateContent xmlns:mc="http://schemas.openxmlformats.org/markup-compatibility/2006">
      <mc:Choice Requires="x14">
        <oleObject progId="MDLDrawOLE.MDLDrawObject.1" shapeId="2054" r:id="rId14">
          <objectPr defaultSize="0" autoPict="0" r:id="rId15">
            <anchor moveWithCells="1">
              <from>
                <xdr:col>1</xdr:col>
                <xdr:colOff>1371600</xdr:colOff>
                <xdr:row>6</xdr:row>
                <xdr:rowOff>657225</xdr:rowOff>
              </from>
              <to>
                <xdr:col>1</xdr:col>
                <xdr:colOff>2381250</xdr:colOff>
                <xdr:row>6</xdr:row>
                <xdr:rowOff>1371600</xdr:rowOff>
              </to>
            </anchor>
          </objectPr>
        </oleObject>
      </mc:Choice>
      <mc:Fallback>
        <oleObject progId="MDLDrawOLE.MDLDrawObject.1" shapeId="2054" r:id="rId14"/>
      </mc:Fallback>
    </mc:AlternateContent>
    <mc:AlternateContent xmlns:mc="http://schemas.openxmlformats.org/markup-compatibility/2006">
      <mc:Choice Requires="x14">
        <oleObject progId="MDLDrawOLE.MDLDrawObject.1" shapeId="2055" r:id="rId16">
          <objectPr defaultSize="0" autoPict="0" r:id="rId17">
            <anchor moveWithCells="1">
              <from>
                <xdr:col>1</xdr:col>
                <xdr:colOff>1104900</xdr:colOff>
                <xdr:row>7</xdr:row>
                <xdr:rowOff>485775</xdr:rowOff>
              </from>
              <to>
                <xdr:col>1</xdr:col>
                <xdr:colOff>2552700</xdr:colOff>
                <xdr:row>7</xdr:row>
                <xdr:rowOff>1314450</xdr:rowOff>
              </to>
            </anchor>
          </objectPr>
        </oleObject>
      </mc:Choice>
      <mc:Fallback>
        <oleObject progId="MDLDrawOLE.MDLDrawObject.1" shapeId="2055" r:id="rId16"/>
      </mc:Fallback>
    </mc:AlternateContent>
    <mc:AlternateContent xmlns:mc="http://schemas.openxmlformats.org/markup-compatibility/2006">
      <mc:Choice Requires="x14">
        <oleObject progId="MDLDrawOLE.MDLDrawObject.1" shapeId="2056" r:id="rId18">
          <objectPr defaultSize="0" autoPict="0" r:id="rId19">
            <anchor moveWithCells="1">
              <from>
                <xdr:col>1</xdr:col>
                <xdr:colOff>838200</xdr:colOff>
                <xdr:row>8</xdr:row>
                <xdr:rowOff>142875</xdr:rowOff>
              </from>
              <to>
                <xdr:col>1</xdr:col>
                <xdr:colOff>2752725</xdr:colOff>
                <xdr:row>8</xdr:row>
                <xdr:rowOff>2057400</xdr:rowOff>
              </to>
            </anchor>
          </objectPr>
        </oleObject>
      </mc:Choice>
      <mc:Fallback>
        <oleObject progId="MDLDrawOLE.MDLDrawObject.1" shapeId="2056" r:id="rId18"/>
      </mc:Fallback>
    </mc:AlternateContent>
    <mc:AlternateContent xmlns:mc="http://schemas.openxmlformats.org/markup-compatibility/2006">
      <mc:Choice Requires="x14">
        <oleObject progId="MDLDrawOLE.MDLDrawObject.1" shapeId="2057" r:id="rId20">
          <objectPr defaultSize="0" autoPict="0" r:id="rId21">
            <anchor moveWithCells="1">
              <from>
                <xdr:col>1</xdr:col>
                <xdr:colOff>419100</xdr:colOff>
                <xdr:row>9</xdr:row>
                <xdr:rowOff>638175</xdr:rowOff>
              </from>
              <to>
                <xdr:col>1</xdr:col>
                <xdr:colOff>3190875</xdr:colOff>
                <xdr:row>9</xdr:row>
                <xdr:rowOff>1771650</xdr:rowOff>
              </to>
            </anchor>
          </objectPr>
        </oleObject>
      </mc:Choice>
      <mc:Fallback>
        <oleObject progId="MDLDrawOLE.MDLDrawObject.1" shapeId="2057" r:id="rId20"/>
      </mc:Fallback>
    </mc:AlternateContent>
    <mc:AlternateContent xmlns:mc="http://schemas.openxmlformats.org/markup-compatibility/2006">
      <mc:Choice Requires="x14">
        <oleObject progId="MDLDrawOLE.MDLDrawObject.1" shapeId="2058" r:id="rId22">
          <objectPr defaultSize="0" autoPict="0" r:id="rId23">
            <anchor moveWithCells="1">
              <from>
                <xdr:col>1</xdr:col>
                <xdr:colOff>828675</xdr:colOff>
                <xdr:row>10</xdr:row>
                <xdr:rowOff>704850</xdr:rowOff>
              </from>
              <to>
                <xdr:col>1</xdr:col>
                <xdr:colOff>2971800</xdr:colOff>
                <xdr:row>10</xdr:row>
                <xdr:rowOff>1714500</xdr:rowOff>
              </to>
            </anchor>
          </objectPr>
        </oleObject>
      </mc:Choice>
      <mc:Fallback>
        <oleObject progId="MDLDrawOLE.MDLDrawObject.1" shapeId="2058" r:id="rId22"/>
      </mc:Fallback>
    </mc:AlternateContent>
    <mc:AlternateContent xmlns:mc="http://schemas.openxmlformats.org/markup-compatibility/2006">
      <mc:Choice Requires="x14">
        <oleObject progId="MDLDrawOLE.MDLDrawObject.1" shapeId="2059" r:id="rId24">
          <objectPr defaultSize="0" autoPict="0" r:id="rId25">
            <anchor moveWithCells="1">
              <from>
                <xdr:col>1</xdr:col>
                <xdr:colOff>657225</xdr:colOff>
                <xdr:row>11</xdr:row>
                <xdr:rowOff>276225</xdr:rowOff>
              </from>
              <to>
                <xdr:col>1</xdr:col>
                <xdr:colOff>3076575</xdr:colOff>
                <xdr:row>11</xdr:row>
                <xdr:rowOff>1962150</xdr:rowOff>
              </to>
            </anchor>
          </objectPr>
        </oleObject>
      </mc:Choice>
      <mc:Fallback>
        <oleObject progId="MDLDrawOLE.MDLDrawObject.1" shapeId="2059" r:id="rId2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7"/>
  <sheetViews>
    <sheetView tabSelected="1" zoomScale="78" zoomScaleNormal="78" workbookViewId="0">
      <pane ySplit="1" topLeftCell="A2" activePane="bottomLeft" state="frozen"/>
      <selection pane="bottomLeft" activeCell="O2" sqref="O2"/>
    </sheetView>
  </sheetViews>
  <sheetFormatPr defaultColWidth="8.7109375" defaultRowHeight="15.75"/>
  <cols>
    <col min="1" max="1" width="20" style="48" customWidth="1"/>
    <col min="2" max="2" width="9.7109375" style="49" customWidth="1"/>
    <col min="3" max="3" width="11.28515625" style="26" customWidth="1"/>
    <col min="4" max="4" width="9.5703125" style="26" customWidth="1"/>
    <col min="5" max="7" width="17.28515625" style="50" customWidth="1"/>
    <col min="8" max="8" width="58.28515625" style="26" customWidth="1"/>
    <col min="9" max="9" width="12.7109375" style="53" customWidth="1"/>
    <col min="10" max="11" width="8.7109375" style="51"/>
    <col min="12" max="12" width="9.28515625" style="50" customWidth="1"/>
    <col min="13" max="13" width="16.7109375" style="51" customWidth="1"/>
    <col min="14" max="14" width="16.7109375" style="49" customWidth="1"/>
    <col min="15" max="15" width="11.7109375" style="49" customWidth="1"/>
    <col min="16" max="16" width="9" style="50" customWidth="1"/>
    <col min="17" max="16384" width="8.7109375" style="26"/>
  </cols>
  <sheetData>
    <row r="1" spans="1:16" s="15" customFormat="1" ht="69.75" customHeight="1">
      <c r="A1" s="5" t="s">
        <v>0</v>
      </c>
      <c r="B1" s="7" t="s">
        <v>17</v>
      </c>
      <c r="C1" s="6" t="s">
        <v>18</v>
      </c>
      <c r="D1" s="6" t="s">
        <v>19</v>
      </c>
      <c r="E1" s="8" t="s">
        <v>97</v>
      </c>
      <c r="F1" s="55" t="s">
        <v>98</v>
      </c>
      <c r="G1" s="9" t="s">
        <v>99</v>
      </c>
      <c r="H1" s="10" t="s">
        <v>103</v>
      </c>
      <c r="I1" s="11" t="s">
        <v>20</v>
      </c>
      <c r="J1" s="12" t="s">
        <v>21</v>
      </c>
      <c r="K1" s="13" t="s">
        <v>22</v>
      </c>
      <c r="L1" s="14" t="s">
        <v>23</v>
      </c>
      <c r="M1" s="13" t="s">
        <v>24</v>
      </c>
      <c r="N1" s="7" t="s">
        <v>104</v>
      </c>
      <c r="O1" s="7" t="s">
        <v>106</v>
      </c>
      <c r="P1" s="14" t="s">
        <v>96</v>
      </c>
    </row>
    <row r="2" spans="1:16" ht="189" customHeight="1">
      <c r="A2" s="16" t="s">
        <v>26</v>
      </c>
      <c r="B2" s="18">
        <v>812.28822000000002</v>
      </c>
      <c r="C2" s="20">
        <v>6.7</v>
      </c>
      <c r="D2" s="17" t="s">
        <v>27</v>
      </c>
      <c r="E2" s="21">
        <v>0.82439895217965697</v>
      </c>
      <c r="F2" s="56">
        <v>0.41902211299999997</v>
      </c>
      <c r="G2" s="54" t="s">
        <v>101</v>
      </c>
      <c r="H2" s="22"/>
      <c r="I2" s="23">
        <v>5</v>
      </c>
      <c r="J2" s="24">
        <v>116.01428571428571</v>
      </c>
      <c r="K2" s="19">
        <v>181.17</v>
      </c>
      <c r="L2" s="25">
        <v>0.65449025776894598</v>
      </c>
      <c r="M2" s="19">
        <v>892.00000000000011</v>
      </c>
      <c r="N2" s="18">
        <v>3.85</v>
      </c>
      <c r="O2" s="18">
        <v>64.599999999999994</v>
      </c>
      <c r="P2" s="25">
        <v>0.67268239514815276</v>
      </c>
    </row>
    <row r="3" spans="1:16" ht="186" customHeight="1">
      <c r="A3" s="16" t="s">
        <v>29</v>
      </c>
      <c r="B3" s="18">
        <v>723.90165999999999</v>
      </c>
      <c r="C3" s="20">
        <v>7</v>
      </c>
      <c r="D3" s="17" t="s">
        <v>27</v>
      </c>
      <c r="E3" s="21">
        <v>0.93286293687337896</v>
      </c>
      <c r="F3" s="56">
        <v>0.45765038400000002</v>
      </c>
      <c r="G3" s="54" t="s">
        <v>101</v>
      </c>
      <c r="H3" s="22"/>
      <c r="I3" s="23">
        <v>5.8</v>
      </c>
      <c r="J3" s="24">
        <v>145.92500000000001</v>
      </c>
      <c r="K3" s="19">
        <v>96.43</v>
      </c>
      <c r="L3" s="25">
        <v>1.4451934045421548</v>
      </c>
      <c r="M3" s="19">
        <v>459.2</v>
      </c>
      <c r="N3" s="18">
        <v>17.399999999999999</v>
      </c>
      <c r="O3" s="18">
        <v>58.5</v>
      </c>
      <c r="P3" s="25">
        <v>0.70699999999999996</v>
      </c>
    </row>
    <row r="4" spans="1:16" ht="183.75" customHeight="1">
      <c r="A4" s="16" t="s">
        <v>31</v>
      </c>
      <c r="B4" s="18">
        <v>807.95195999999999</v>
      </c>
      <c r="C4" s="20">
        <v>6.9</v>
      </c>
      <c r="D4" s="17" t="s">
        <v>27</v>
      </c>
      <c r="E4" s="21">
        <v>0.90315922640127599</v>
      </c>
      <c r="F4" s="56">
        <v>0.45972539699999998</v>
      </c>
      <c r="G4" s="54" t="s">
        <v>101</v>
      </c>
      <c r="H4" s="22"/>
      <c r="I4" s="23"/>
      <c r="J4" s="24">
        <v>117.8333333333333</v>
      </c>
      <c r="K4" s="19">
        <v>156.34</v>
      </c>
      <c r="L4" s="25">
        <v>0.74554816425738779</v>
      </c>
      <c r="M4" s="19">
        <v>333.73333333333329</v>
      </c>
      <c r="N4" s="18">
        <v>4.22</v>
      </c>
      <c r="O4" s="18">
        <v>57.55</v>
      </c>
      <c r="P4" s="25">
        <v>0.59771465994172346</v>
      </c>
    </row>
    <row r="5" spans="1:16" ht="186" customHeight="1">
      <c r="A5" s="16" t="s">
        <v>33</v>
      </c>
      <c r="B5" s="18">
        <v>865.92677000000003</v>
      </c>
      <c r="C5" s="20">
        <v>7.8</v>
      </c>
      <c r="D5" s="17" t="s">
        <v>27</v>
      </c>
      <c r="E5" s="21">
        <v>1.7015286860000001</v>
      </c>
      <c r="F5" s="56">
        <v>0.55692894299999995</v>
      </c>
      <c r="G5" s="54" t="s">
        <v>101</v>
      </c>
      <c r="H5" s="22"/>
      <c r="I5" s="23">
        <v>2.5</v>
      </c>
      <c r="J5" s="24">
        <v>124.9</v>
      </c>
      <c r="K5" s="19">
        <v>175.15</v>
      </c>
      <c r="L5" s="25">
        <v>0.71061946902654871</v>
      </c>
      <c r="M5" s="19">
        <v>56.640000000000008</v>
      </c>
      <c r="N5" s="18">
        <v>16.8</v>
      </c>
      <c r="O5" s="18">
        <v>24</v>
      </c>
      <c r="P5" s="25">
        <v>0.24998291315591017</v>
      </c>
    </row>
    <row r="6" spans="1:16" ht="185.25" customHeight="1">
      <c r="A6" s="16" t="s">
        <v>35</v>
      </c>
      <c r="B6" s="18">
        <v>719.83190000000002</v>
      </c>
      <c r="C6" s="20">
        <v>8.6</v>
      </c>
      <c r="D6" s="17" t="s">
        <v>27</v>
      </c>
      <c r="E6" s="21">
        <v>1.2</v>
      </c>
      <c r="F6" s="56">
        <v>0.340578149</v>
      </c>
      <c r="G6" s="54" t="s">
        <v>101</v>
      </c>
      <c r="H6" s="22"/>
      <c r="I6" s="23">
        <v>4.9000000000000004</v>
      </c>
      <c r="J6" s="24">
        <v>133.1333333333333</v>
      </c>
      <c r="K6" s="19">
        <v>174.17</v>
      </c>
      <c r="L6" s="25">
        <v>0.75800654532927603</v>
      </c>
      <c r="M6" s="27" t="s">
        <v>36</v>
      </c>
      <c r="N6" s="45">
        <v>7.5</v>
      </c>
      <c r="O6" s="18">
        <v>45</v>
      </c>
      <c r="P6" s="25">
        <v>0.49100556689712482</v>
      </c>
    </row>
    <row r="7" spans="1:16" ht="189" customHeight="1" thickBot="1">
      <c r="A7" s="16" t="s">
        <v>38</v>
      </c>
      <c r="B7" s="18">
        <v>806.95555999999999</v>
      </c>
      <c r="C7" s="20">
        <v>8.1999999999999993</v>
      </c>
      <c r="D7" s="17" t="s">
        <v>27</v>
      </c>
      <c r="E7" s="21">
        <v>1.67</v>
      </c>
      <c r="F7" s="56">
        <v>0.47624271200000001</v>
      </c>
      <c r="G7" s="54" t="s">
        <v>101</v>
      </c>
      <c r="H7" s="22"/>
      <c r="I7" s="23">
        <v>2</v>
      </c>
      <c r="J7" s="24">
        <v>137.19999999999999</v>
      </c>
      <c r="K7" s="19">
        <v>202.33</v>
      </c>
      <c r="L7" s="25">
        <v>0.6747985963524934</v>
      </c>
      <c r="M7" s="19">
        <v>150.1333333333333</v>
      </c>
      <c r="N7" s="18">
        <v>22.95</v>
      </c>
      <c r="O7" s="18">
        <v>74</v>
      </c>
      <c r="P7" s="25">
        <v>0.85365512848797087</v>
      </c>
    </row>
    <row r="8" spans="1:16" ht="189" customHeight="1" thickBot="1">
      <c r="A8" s="28" t="s">
        <v>25</v>
      </c>
      <c r="B8" s="18">
        <v>728.84195999999997</v>
      </c>
      <c r="C8" s="20">
        <v>8.1</v>
      </c>
      <c r="D8" s="17" t="s">
        <v>27</v>
      </c>
      <c r="E8" s="21">
        <v>1.9646886988087799</v>
      </c>
      <c r="F8" s="56">
        <v>0.60339509000000002</v>
      </c>
      <c r="G8" s="54" t="s">
        <v>101</v>
      </c>
      <c r="H8" s="22"/>
      <c r="I8" s="23">
        <v>1</v>
      </c>
      <c r="J8" s="29">
        <v>117</v>
      </c>
      <c r="K8" s="19">
        <v>143.91999999999999</v>
      </c>
      <c r="L8" s="25">
        <v>0.85300166759310725</v>
      </c>
      <c r="M8" s="19">
        <v>1.6240000000000001</v>
      </c>
      <c r="N8" s="18">
        <v>11.175000000000001</v>
      </c>
      <c r="O8" s="18">
        <v>48.5</v>
      </c>
      <c r="P8" s="25">
        <v>0.49184860701034361</v>
      </c>
    </row>
    <row r="9" spans="1:16" ht="189" customHeight="1">
      <c r="A9" s="28" t="s">
        <v>28</v>
      </c>
      <c r="B9" s="18">
        <v>797.94704000000002</v>
      </c>
      <c r="C9" s="20">
        <v>8.6999999999999993</v>
      </c>
      <c r="D9" s="17" t="s">
        <v>27</v>
      </c>
      <c r="E9" s="21">
        <v>-0.243068402498823</v>
      </c>
      <c r="F9" s="56">
        <v>0.87991306199999997</v>
      </c>
      <c r="G9" s="54" t="s">
        <v>100</v>
      </c>
      <c r="H9" s="22"/>
      <c r="I9" s="23">
        <v>1.9</v>
      </c>
      <c r="J9" s="24">
        <v>139.19999999999999</v>
      </c>
      <c r="K9" s="19">
        <v>147.16</v>
      </c>
      <c r="L9" s="25">
        <v>0.94081272084805656</v>
      </c>
      <c r="M9" s="19">
        <v>73.333333333333329</v>
      </c>
      <c r="N9" s="18">
        <v>98.7</v>
      </c>
      <c r="O9" s="18">
        <v>0</v>
      </c>
      <c r="P9" s="25">
        <v>0</v>
      </c>
    </row>
    <row r="10" spans="1:16" ht="189" customHeight="1">
      <c r="A10" s="28" t="s">
        <v>30</v>
      </c>
      <c r="B10" s="18">
        <v>755.8673</v>
      </c>
      <c r="C10" s="20">
        <v>8.1999999999999993</v>
      </c>
      <c r="D10" s="17" t="s">
        <v>27</v>
      </c>
      <c r="E10" s="21">
        <v>1.99906713</v>
      </c>
      <c r="F10" s="56">
        <v>0.647600383</v>
      </c>
      <c r="G10" s="54" t="s">
        <v>101</v>
      </c>
      <c r="H10" s="22"/>
      <c r="I10" s="23">
        <v>2</v>
      </c>
      <c r="J10" s="24">
        <v>127</v>
      </c>
      <c r="K10" s="19">
        <v>156.81</v>
      </c>
      <c r="L10" s="25">
        <v>0.82224985651425286</v>
      </c>
      <c r="M10" s="19">
        <v>630.53333333333342</v>
      </c>
      <c r="N10" s="18">
        <v>28.6</v>
      </c>
      <c r="O10" s="18">
        <v>1</v>
      </c>
      <c r="P10" s="25">
        <v>1.2317666697382929E-2</v>
      </c>
    </row>
    <row r="11" spans="1:16" ht="189" customHeight="1">
      <c r="A11" s="28" t="s">
        <v>32</v>
      </c>
      <c r="B11" s="18">
        <v>755.8673</v>
      </c>
      <c r="C11" s="20">
        <v>8.1999999999999993</v>
      </c>
      <c r="D11" s="17" t="s">
        <v>27</v>
      </c>
      <c r="E11" s="21">
        <v>-0.31382110478853098</v>
      </c>
      <c r="F11" s="56">
        <v>0.59284911699999998</v>
      </c>
      <c r="G11" s="54" t="s">
        <v>100</v>
      </c>
      <c r="H11" s="22"/>
      <c r="I11" s="23">
        <v>2.2000000000000002</v>
      </c>
      <c r="J11" s="24">
        <v>124</v>
      </c>
      <c r="K11" s="19">
        <v>156.81</v>
      </c>
      <c r="L11" s="25">
        <v>0.8047318410815637</v>
      </c>
      <c r="M11" s="27" t="s">
        <v>36</v>
      </c>
      <c r="N11" s="45">
        <v>11.3</v>
      </c>
      <c r="O11" s="18">
        <v>25</v>
      </c>
      <c r="P11" s="25">
        <v>0.27007818052594174</v>
      </c>
    </row>
    <row r="12" spans="1:16" ht="189" customHeight="1">
      <c r="A12" s="28" t="s">
        <v>34</v>
      </c>
      <c r="B12" s="18">
        <v>786.36342000000002</v>
      </c>
      <c r="C12" s="20">
        <v>8.5</v>
      </c>
      <c r="D12" s="17" t="s">
        <v>27</v>
      </c>
      <c r="E12" s="21">
        <v>1.229672149</v>
      </c>
      <c r="F12" s="56">
        <v>0.38832019668662371</v>
      </c>
      <c r="G12" s="54" t="s">
        <v>101</v>
      </c>
      <c r="H12" s="22"/>
      <c r="I12" s="23">
        <v>4.2</v>
      </c>
      <c r="J12" s="24">
        <v>156.19999999999999</v>
      </c>
      <c r="K12" s="19">
        <v>132.74</v>
      </c>
      <c r="L12" s="25">
        <v>1.1602606599367185</v>
      </c>
      <c r="M12" s="19">
        <v>477.73333333333341</v>
      </c>
      <c r="N12" s="18">
        <v>29.6</v>
      </c>
      <c r="O12" s="18">
        <v>6</v>
      </c>
      <c r="P12" s="25">
        <v>7.4509803921568626E-2</v>
      </c>
    </row>
    <row r="13" spans="1:16" ht="189" customHeight="1">
      <c r="A13" s="28" t="s">
        <v>37</v>
      </c>
      <c r="B13" s="18">
        <v>801.37806</v>
      </c>
      <c r="C13" s="20">
        <v>8.6999999999999993</v>
      </c>
      <c r="D13" s="17" t="s">
        <v>27</v>
      </c>
      <c r="E13" s="21">
        <v>-0.29408164221539301</v>
      </c>
      <c r="F13" s="56">
        <v>0.59595615199999996</v>
      </c>
      <c r="G13" s="54" t="s">
        <v>100</v>
      </c>
      <c r="H13" s="22"/>
      <c r="I13" s="23">
        <v>3.9</v>
      </c>
      <c r="J13" s="24">
        <v>146.30000000000001</v>
      </c>
      <c r="K13" s="19">
        <v>145.63</v>
      </c>
      <c r="L13" s="25">
        <v>1.0033166243219116</v>
      </c>
      <c r="M13" s="19">
        <v>1000</v>
      </c>
      <c r="N13" s="18">
        <v>27.6</v>
      </c>
      <c r="O13" s="18">
        <v>15.4</v>
      </c>
      <c r="P13" s="25">
        <v>0.18816720257234726</v>
      </c>
    </row>
    <row r="14" spans="1:16" ht="165.75" customHeight="1">
      <c r="A14" s="28" t="s">
        <v>39</v>
      </c>
      <c r="B14" s="18">
        <v>735.23055999999997</v>
      </c>
      <c r="C14" s="20">
        <v>3.3</v>
      </c>
      <c r="D14" s="17" t="s">
        <v>40</v>
      </c>
      <c r="E14" s="21">
        <v>-3.533358003</v>
      </c>
      <c r="F14" s="56">
        <v>-2.6024871959999998</v>
      </c>
      <c r="G14" s="54" t="s">
        <v>102</v>
      </c>
      <c r="H14" s="22"/>
      <c r="I14" s="23">
        <v>5.7</v>
      </c>
      <c r="J14" s="24">
        <v>131</v>
      </c>
      <c r="K14" s="19">
        <v>149.29</v>
      </c>
      <c r="L14" s="25">
        <v>0.91190970594145626</v>
      </c>
      <c r="M14" s="19">
        <v>377.06666666666672</v>
      </c>
      <c r="N14" s="18">
        <v>1.1499999999999999</v>
      </c>
      <c r="O14" s="18">
        <v>12.9</v>
      </c>
      <c r="P14" s="25">
        <v>0.12995327586559022</v>
      </c>
    </row>
    <row r="15" spans="1:16" ht="167.25" customHeight="1">
      <c r="A15" s="28" t="s">
        <v>41</v>
      </c>
      <c r="B15" s="18">
        <v>743.78542000000004</v>
      </c>
      <c r="C15" s="20">
        <v>4.0999999999999996</v>
      </c>
      <c r="D15" s="17" t="s">
        <v>40</v>
      </c>
      <c r="E15" s="21">
        <v>0.8</v>
      </c>
      <c r="F15" s="56">
        <v>0.45433820200000002</v>
      </c>
      <c r="G15" s="54" t="s">
        <v>101</v>
      </c>
      <c r="H15" s="30"/>
      <c r="I15" s="31">
        <v>4.5</v>
      </c>
      <c r="J15" s="32">
        <v>157</v>
      </c>
      <c r="K15" s="24">
        <v>174.55</v>
      </c>
      <c r="L15" s="25">
        <v>0.89001432254368373</v>
      </c>
      <c r="M15" s="19">
        <v>301.2</v>
      </c>
      <c r="N15" s="18">
        <v>0.56000000000000005</v>
      </c>
      <c r="O15" s="18">
        <v>4</v>
      </c>
      <c r="P15" s="25">
        <v>4.0148841263499886E-2</v>
      </c>
    </row>
    <row r="16" spans="1:16" ht="161.25" customHeight="1">
      <c r="A16" s="28" t="s">
        <v>42</v>
      </c>
      <c r="B16" s="34">
        <v>828.91142000000002</v>
      </c>
      <c r="C16" s="35">
        <v>3.2</v>
      </c>
      <c r="D16" s="33" t="s">
        <v>40</v>
      </c>
      <c r="E16" s="36">
        <v>1.27</v>
      </c>
      <c r="F16" s="56">
        <v>0.65580751699999995</v>
      </c>
      <c r="G16" s="54" t="s">
        <v>101</v>
      </c>
      <c r="H16" s="37"/>
      <c r="I16" s="38">
        <v>4.4000000000000004</v>
      </c>
      <c r="J16" s="39">
        <v>124.4</v>
      </c>
      <c r="K16" s="40">
        <v>180.79</v>
      </c>
      <c r="L16" s="41">
        <v>0.69455168980585213</v>
      </c>
      <c r="M16" s="42" t="s">
        <v>36</v>
      </c>
      <c r="N16" s="57">
        <v>27.5</v>
      </c>
      <c r="O16" s="34">
        <v>1</v>
      </c>
      <c r="P16" s="41">
        <v>1.2208835341365461E-2</v>
      </c>
    </row>
    <row r="17" spans="1:16" ht="182.25" customHeight="1">
      <c r="A17" s="28" t="s">
        <v>43</v>
      </c>
      <c r="B17" s="18">
        <v>934.51397999999995</v>
      </c>
      <c r="C17" s="20">
        <v>5.5</v>
      </c>
      <c r="D17" s="17" t="s">
        <v>40</v>
      </c>
      <c r="E17" s="21">
        <v>1.29</v>
      </c>
      <c r="F17" s="56">
        <v>0.55563820600000002</v>
      </c>
      <c r="G17" s="54" t="s">
        <v>101</v>
      </c>
      <c r="H17" s="22"/>
      <c r="I17" s="23"/>
      <c r="J17" s="43" t="s">
        <v>36</v>
      </c>
      <c r="K17" s="19">
        <v>186.36</v>
      </c>
      <c r="L17" s="25">
        <v>0.59156471345782358</v>
      </c>
      <c r="M17" s="27" t="s">
        <v>36</v>
      </c>
      <c r="N17" s="45">
        <v>184</v>
      </c>
      <c r="O17" s="18">
        <v>0</v>
      </c>
      <c r="P17" s="25">
        <v>0</v>
      </c>
    </row>
    <row r="18" spans="1:16" ht="183" customHeight="1">
      <c r="A18" s="28" t="s">
        <v>44</v>
      </c>
      <c r="B18" s="18">
        <v>840.00526000000002</v>
      </c>
      <c r="C18" s="20">
        <v>7.4</v>
      </c>
      <c r="D18" s="17" t="s">
        <v>27</v>
      </c>
      <c r="E18" s="21">
        <v>-1.000481095</v>
      </c>
      <c r="F18" s="56">
        <v>0.39783937800000002</v>
      </c>
      <c r="G18" s="54" t="s">
        <v>100</v>
      </c>
      <c r="H18" s="22"/>
      <c r="I18" s="23">
        <v>6.1</v>
      </c>
      <c r="J18" s="24">
        <v>125.55</v>
      </c>
      <c r="K18" s="19">
        <v>136.99</v>
      </c>
      <c r="L18" s="25">
        <v>0.92146872034455074</v>
      </c>
      <c r="M18" s="19">
        <v>264.13333333333333</v>
      </c>
      <c r="N18" s="18">
        <v>10.55</v>
      </c>
      <c r="O18" s="18">
        <v>4</v>
      </c>
      <c r="P18" s="25">
        <v>4.2986425339366516E-2</v>
      </c>
    </row>
    <row r="19" spans="1:16" ht="180.75" customHeight="1">
      <c r="A19" s="28" t="s">
        <v>45</v>
      </c>
      <c r="B19" s="18">
        <v>857.99570000000006</v>
      </c>
      <c r="C19" s="20">
        <v>8.6</v>
      </c>
      <c r="D19" s="17" t="s">
        <v>27</v>
      </c>
      <c r="E19" s="21">
        <v>0.01</v>
      </c>
      <c r="F19" s="56">
        <v>0.94890096499999999</v>
      </c>
      <c r="G19" s="54" t="s">
        <v>100</v>
      </c>
      <c r="H19" s="22"/>
      <c r="I19" s="23">
        <v>2.2999999999999998</v>
      </c>
      <c r="J19" s="24">
        <v>129.6</v>
      </c>
      <c r="K19" s="19">
        <v>171.42</v>
      </c>
      <c r="L19" s="25">
        <v>0.75597946563994867</v>
      </c>
      <c r="M19" s="19">
        <v>60.4</v>
      </c>
      <c r="N19" s="18">
        <v>24.05</v>
      </c>
      <c r="O19" s="18">
        <v>0</v>
      </c>
      <c r="P19" s="25">
        <v>0</v>
      </c>
    </row>
    <row r="20" spans="1:16" ht="183.75" customHeight="1">
      <c r="A20" s="28" t="s">
        <v>46</v>
      </c>
      <c r="B20" s="18">
        <v>888.96340999999995</v>
      </c>
      <c r="C20" s="20">
        <v>8.6999999999999993</v>
      </c>
      <c r="D20" s="17" t="s">
        <v>27</v>
      </c>
      <c r="E20" s="21">
        <v>0.1</v>
      </c>
      <c r="F20" s="56">
        <v>0.89102532300000004</v>
      </c>
      <c r="G20" s="54" t="s">
        <v>100</v>
      </c>
      <c r="H20" s="22"/>
      <c r="I20" s="23">
        <v>1.52</v>
      </c>
      <c r="J20" s="24">
        <v>129.04067499999999</v>
      </c>
      <c r="K20" s="19">
        <v>184.74</v>
      </c>
      <c r="L20" s="25">
        <v>0.70633863808595865</v>
      </c>
      <c r="M20" s="19">
        <v>61.533333333333339</v>
      </c>
      <c r="N20" s="18">
        <v>65</v>
      </c>
      <c r="O20" s="18">
        <v>0</v>
      </c>
      <c r="P20" s="25">
        <v>0</v>
      </c>
    </row>
    <row r="21" spans="1:16" ht="183.75" customHeight="1">
      <c r="A21" s="28" t="s">
        <v>47</v>
      </c>
      <c r="B21" s="18">
        <v>732.29128000000003</v>
      </c>
      <c r="C21" s="20">
        <v>8.4</v>
      </c>
      <c r="D21" s="17" t="s">
        <v>27</v>
      </c>
      <c r="E21" s="21">
        <v>0.13791185656650401</v>
      </c>
      <c r="F21" s="56">
        <v>0.87624117999999995</v>
      </c>
      <c r="G21" s="54" t="s">
        <v>102</v>
      </c>
      <c r="H21" s="22"/>
      <c r="I21" s="23">
        <v>0.9</v>
      </c>
      <c r="J21" s="24">
        <v>154</v>
      </c>
      <c r="K21" s="19">
        <v>135.26</v>
      </c>
      <c r="L21" s="25">
        <v>1.1370397752476711</v>
      </c>
      <c r="M21" s="19">
        <v>1000</v>
      </c>
      <c r="N21" s="18">
        <v>11.6</v>
      </c>
      <c r="O21" s="18">
        <v>0.4</v>
      </c>
      <c r="P21" s="25">
        <v>4.3320270751692194E-3</v>
      </c>
    </row>
    <row r="22" spans="1:16" ht="188.25" customHeight="1">
      <c r="A22" s="28" t="s">
        <v>48</v>
      </c>
      <c r="B22" s="18">
        <v>887.97535000000005</v>
      </c>
      <c r="C22" s="20">
        <v>8.9</v>
      </c>
      <c r="D22" s="17" t="s">
        <v>27</v>
      </c>
      <c r="E22" s="21">
        <v>0.4</v>
      </c>
      <c r="F22" s="56">
        <v>0.97236402499999997</v>
      </c>
      <c r="G22" s="54" t="s">
        <v>100</v>
      </c>
      <c r="H22" s="22"/>
      <c r="I22" s="23">
        <v>1.78</v>
      </c>
      <c r="J22" s="24">
        <v>132.46841190000001</v>
      </c>
      <c r="K22" s="19">
        <v>171.85</v>
      </c>
      <c r="L22" s="25">
        <v>0.77122490544079136</v>
      </c>
      <c r="M22" s="19">
        <v>32.613333333333337</v>
      </c>
      <c r="N22" s="18">
        <v>28.8</v>
      </c>
      <c r="O22" s="18">
        <v>0</v>
      </c>
      <c r="P22" s="25">
        <v>0</v>
      </c>
    </row>
    <row r="23" spans="1:16" ht="188.25" customHeight="1">
      <c r="A23" s="28" t="s">
        <v>49</v>
      </c>
      <c r="B23" s="18">
        <v>888.96340999999995</v>
      </c>
      <c r="C23" s="20">
        <v>8.3000000000000007</v>
      </c>
      <c r="D23" s="17" t="s">
        <v>27</v>
      </c>
      <c r="E23" s="21">
        <v>0.4</v>
      </c>
      <c r="F23" s="56">
        <v>1.153826247</v>
      </c>
      <c r="G23" s="54" t="s">
        <v>100</v>
      </c>
      <c r="H23" s="22"/>
      <c r="I23" s="23">
        <v>1.33</v>
      </c>
      <c r="J23" s="24">
        <v>141.8344150333333</v>
      </c>
      <c r="K23" s="19">
        <v>183.88</v>
      </c>
      <c r="L23" s="25">
        <v>0.76325864694365886</v>
      </c>
      <c r="M23" s="19">
        <v>126</v>
      </c>
      <c r="N23" s="18">
        <v>48.2</v>
      </c>
      <c r="O23" s="18">
        <v>0</v>
      </c>
      <c r="P23" s="25">
        <v>0</v>
      </c>
    </row>
    <row r="24" spans="1:16" ht="180.75" customHeight="1">
      <c r="A24" s="28" t="s">
        <v>50</v>
      </c>
      <c r="B24" s="18">
        <v>963.90773999999999</v>
      </c>
      <c r="C24" s="20">
        <v>8.4</v>
      </c>
      <c r="D24" s="17" t="s">
        <v>27</v>
      </c>
      <c r="E24" s="21">
        <v>0.56000000000000005</v>
      </c>
      <c r="F24" s="56">
        <v>0.71495202499999999</v>
      </c>
      <c r="G24" s="54" t="s">
        <v>100</v>
      </c>
      <c r="H24" s="22"/>
      <c r="I24" s="23">
        <v>2.9</v>
      </c>
      <c r="J24" s="24">
        <v>115.15</v>
      </c>
      <c r="K24" s="19">
        <v>217.2</v>
      </c>
      <c r="L24" s="25">
        <v>0.61866022099447515</v>
      </c>
      <c r="M24" s="27" t="s">
        <v>36</v>
      </c>
      <c r="N24" s="45">
        <v>9.2899999999999991</v>
      </c>
      <c r="O24" s="18">
        <v>1</v>
      </c>
      <c r="P24" s="25">
        <v>1.0650597344357636E-2</v>
      </c>
    </row>
    <row r="25" spans="1:16" ht="181.5" customHeight="1">
      <c r="A25" s="28" t="s">
        <v>51</v>
      </c>
      <c r="B25" s="18">
        <v>941.15380000000005</v>
      </c>
      <c r="C25" s="20">
        <v>8.4</v>
      </c>
      <c r="D25" s="17" t="s">
        <v>27</v>
      </c>
      <c r="E25" s="21">
        <v>0.56411481003014097</v>
      </c>
      <c r="F25" s="56">
        <v>0.76174672499999996</v>
      </c>
      <c r="G25" s="54" t="s">
        <v>100</v>
      </c>
      <c r="H25" s="22"/>
      <c r="I25" s="23">
        <v>2.35</v>
      </c>
      <c r="J25" s="24">
        <v>159.30000000000001</v>
      </c>
      <c r="K25" s="19">
        <v>171.93</v>
      </c>
      <c r="L25" s="25">
        <v>0.86585238178328394</v>
      </c>
      <c r="M25" s="19">
        <v>62.16</v>
      </c>
      <c r="N25" s="18">
        <v>20.399999999999999</v>
      </c>
      <c r="O25" s="18">
        <v>37</v>
      </c>
      <c r="P25" s="25">
        <v>0.40285176214503321</v>
      </c>
    </row>
    <row r="26" spans="1:16" ht="207" customHeight="1">
      <c r="A26" s="28" t="s">
        <v>52</v>
      </c>
      <c r="B26" s="18">
        <v>849.42262000000005</v>
      </c>
      <c r="C26" s="20">
        <v>7.8</v>
      </c>
      <c r="D26" s="17" t="s">
        <v>27</v>
      </c>
      <c r="E26" s="21">
        <v>0.6</v>
      </c>
      <c r="F26" s="56">
        <v>1.2624413320000001</v>
      </c>
      <c r="G26" s="54" t="s">
        <v>100</v>
      </c>
      <c r="H26" s="22"/>
      <c r="I26" s="23">
        <v>1.8</v>
      </c>
      <c r="J26" s="24">
        <v>133.1</v>
      </c>
      <c r="K26" s="19">
        <v>190.71</v>
      </c>
      <c r="L26" s="25">
        <v>0.70674846625766874</v>
      </c>
      <c r="M26" s="19">
        <v>218.26666666666671</v>
      </c>
      <c r="N26" s="18">
        <v>8.6</v>
      </c>
      <c r="O26" s="18">
        <v>0.1</v>
      </c>
      <c r="P26" s="25">
        <v>1.0600090658670106E-3</v>
      </c>
    </row>
    <row r="27" spans="1:16" ht="188.25" customHeight="1">
      <c r="A27" s="28" t="s">
        <v>53</v>
      </c>
      <c r="B27" s="18">
        <v>669.10789999999997</v>
      </c>
      <c r="C27" s="20">
        <v>6.3</v>
      </c>
      <c r="D27" s="17" t="s">
        <v>27</v>
      </c>
      <c r="E27" s="21">
        <v>0.72615855396296602</v>
      </c>
      <c r="F27" s="56">
        <v>0.309536123</v>
      </c>
      <c r="G27" s="54" t="s">
        <v>101</v>
      </c>
      <c r="H27" s="22"/>
      <c r="I27" s="23">
        <v>5.4</v>
      </c>
      <c r="J27" s="24">
        <v>131</v>
      </c>
      <c r="K27" s="19">
        <v>129.07</v>
      </c>
      <c r="L27" s="25">
        <v>1.0869605640350197</v>
      </c>
      <c r="M27" s="19">
        <v>493.86666666666667</v>
      </c>
      <c r="N27" s="18">
        <v>1.04</v>
      </c>
      <c r="O27" s="18">
        <v>6.8</v>
      </c>
      <c r="P27" s="25">
        <v>6.8468468562807638E-2</v>
      </c>
    </row>
    <row r="28" spans="1:16" ht="183.75" customHeight="1">
      <c r="A28" s="28" t="s">
        <v>54</v>
      </c>
      <c r="B28" s="18">
        <v>841.95654000000002</v>
      </c>
      <c r="C28" s="20">
        <v>8.6</v>
      </c>
      <c r="D28" s="17" t="s">
        <v>27</v>
      </c>
      <c r="E28" s="21">
        <v>0.72633621958903205</v>
      </c>
      <c r="F28" s="56">
        <v>1.045626771</v>
      </c>
      <c r="G28" s="54" t="s">
        <v>100</v>
      </c>
      <c r="H28" s="22"/>
      <c r="I28" s="23">
        <v>1.9</v>
      </c>
      <c r="J28" s="24">
        <v>134.19999999999999</v>
      </c>
      <c r="K28" s="19">
        <v>179.61</v>
      </c>
      <c r="L28" s="25">
        <v>0.74422359556817552</v>
      </c>
      <c r="M28" s="19">
        <v>6.0720000000000001</v>
      </c>
      <c r="N28" s="18">
        <v>38.299999999999997</v>
      </c>
      <c r="O28" s="18">
        <v>0</v>
      </c>
      <c r="P28" s="25">
        <v>0</v>
      </c>
    </row>
    <row r="29" spans="1:16" ht="189" customHeight="1">
      <c r="A29" s="28" t="s">
        <v>55</v>
      </c>
      <c r="B29" s="18">
        <v>730.25379999999996</v>
      </c>
      <c r="C29" s="20">
        <v>8</v>
      </c>
      <c r="D29" s="17" t="s">
        <v>27</v>
      </c>
      <c r="E29" s="21">
        <v>0.73353349614739904</v>
      </c>
      <c r="F29" s="56">
        <v>0.41700088600000002</v>
      </c>
      <c r="G29" s="54" t="s">
        <v>101</v>
      </c>
      <c r="H29" s="22"/>
      <c r="I29" s="23"/>
      <c r="J29" s="24">
        <v>144.80000000000001</v>
      </c>
      <c r="K29" s="19">
        <v>132.85</v>
      </c>
      <c r="L29" s="25">
        <v>1.091321038765525</v>
      </c>
      <c r="M29" s="27" t="s">
        <v>36</v>
      </c>
      <c r="N29" s="45">
        <v>2.72</v>
      </c>
      <c r="O29" s="18">
        <v>81.2</v>
      </c>
      <c r="P29" s="25">
        <v>0.82679528704298388</v>
      </c>
    </row>
    <row r="30" spans="1:16" ht="186" customHeight="1">
      <c r="A30" s="28" t="s">
        <v>56</v>
      </c>
      <c r="B30" s="18">
        <v>774.30636000000004</v>
      </c>
      <c r="C30" s="20">
        <v>6.8</v>
      </c>
      <c r="D30" s="17" t="s">
        <v>27</v>
      </c>
      <c r="E30" s="21">
        <v>0.73604266595218704</v>
      </c>
      <c r="F30" s="56">
        <v>0.40700875800000003</v>
      </c>
      <c r="G30" s="54" t="s">
        <v>101</v>
      </c>
      <c r="H30" s="22"/>
      <c r="I30" s="23">
        <v>3.5</v>
      </c>
      <c r="J30" s="43" t="s">
        <v>36</v>
      </c>
      <c r="K30" s="19">
        <v>137.37</v>
      </c>
      <c r="L30" s="25">
        <v>1.0068501128339522</v>
      </c>
      <c r="M30" s="19">
        <v>176.2</v>
      </c>
      <c r="N30" s="18">
        <v>0.76</v>
      </c>
      <c r="O30" s="18">
        <v>50</v>
      </c>
      <c r="P30" s="25">
        <v>0.50252419274933924</v>
      </c>
    </row>
    <row r="31" spans="1:16" ht="183" customHeight="1">
      <c r="A31" s="28" t="s">
        <v>57</v>
      </c>
      <c r="B31" s="18">
        <v>956.36393999999996</v>
      </c>
      <c r="C31" s="20">
        <v>5.7</v>
      </c>
      <c r="D31" s="17" t="s">
        <v>27</v>
      </c>
      <c r="E31" s="21">
        <v>0.75</v>
      </c>
      <c r="F31" s="56">
        <v>0.46007094999999998</v>
      </c>
      <c r="G31" s="54" t="s">
        <v>101</v>
      </c>
      <c r="H31" s="22"/>
      <c r="I31" s="23">
        <v>4.5860000000000003</v>
      </c>
      <c r="J31" s="24">
        <v>124.25</v>
      </c>
      <c r="K31" s="19">
        <v>154.4</v>
      </c>
      <c r="L31" s="25">
        <v>0.80162564766839384</v>
      </c>
      <c r="M31" s="19">
        <v>1000</v>
      </c>
      <c r="N31" s="18">
        <v>1.29</v>
      </c>
      <c r="O31" s="18">
        <v>54</v>
      </c>
      <c r="P31" s="25">
        <v>0.54743435151701147</v>
      </c>
    </row>
    <row r="32" spans="1:16" ht="183.75" customHeight="1">
      <c r="A32" s="28" t="s">
        <v>58</v>
      </c>
      <c r="B32" s="18">
        <v>698.14581999999996</v>
      </c>
      <c r="C32" s="20">
        <v>5.6</v>
      </c>
      <c r="D32" s="17" t="s">
        <v>27</v>
      </c>
      <c r="E32" s="21">
        <v>0.82394763100000001</v>
      </c>
      <c r="F32" s="56">
        <v>0.39497812599999998</v>
      </c>
      <c r="G32" s="54" t="s">
        <v>101</v>
      </c>
      <c r="H32" s="22"/>
      <c r="I32" s="23">
        <v>5.9</v>
      </c>
      <c r="J32" s="43" t="s">
        <v>36</v>
      </c>
      <c r="K32" s="19">
        <v>135.46</v>
      </c>
      <c r="L32" s="25">
        <v>1.21076332496678</v>
      </c>
      <c r="M32" s="19">
        <v>523.86666666666679</v>
      </c>
      <c r="N32" s="18">
        <v>2.76</v>
      </c>
      <c r="O32" s="18">
        <v>7</v>
      </c>
      <c r="P32" s="25">
        <v>7.1292170855184342E-2</v>
      </c>
    </row>
    <row r="33" spans="1:16" ht="181.5" customHeight="1">
      <c r="A33" s="28" t="s">
        <v>59</v>
      </c>
      <c r="B33" s="18">
        <v>853.98878000000002</v>
      </c>
      <c r="C33" s="20">
        <v>6.4</v>
      </c>
      <c r="D33" s="17" t="s">
        <v>27</v>
      </c>
      <c r="E33" s="21">
        <v>0.87754453799999999</v>
      </c>
      <c r="F33" s="56">
        <v>0.47019960999999999</v>
      </c>
      <c r="G33" s="54" t="s">
        <v>101</v>
      </c>
      <c r="H33" s="22"/>
      <c r="I33" s="23">
        <v>5.9</v>
      </c>
      <c r="J33" s="24">
        <v>133.80000000000001</v>
      </c>
      <c r="K33" s="19">
        <v>154.06</v>
      </c>
      <c r="L33" s="25">
        <v>0.86416331299493698</v>
      </c>
      <c r="M33" s="19">
        <v>183</v>
      </c>
      <c r="N33" s="18">
        <v>2.84</v>
      </c>
      <c r="O33" s="18">
        <v>20.8</v>
      </c>
      <c r="P33" s="25">
        <v>0.21196741644597902</v>
      </c>
    </row>
    <row r="34" spans="1:16" ht="194.25" customHeight="1">
      <c r="A34" s="28" t="s">
        <v>60</v>
      </c>
      <c r="B34" s="18">
        <v>770.83558000000005</v>
      </c>
      <c r="C34" s="20">
        <v>6.7</v>
      </c>
      <c r="D34" s="17" t="s">
        <v>27</v>
      </c>
      <c r="E34" s="21">
        <v>0.91721819199999999</v>
      </c>
      <c r="F34" s="56">
        <v>0.423954942</v>
      </c>
      <c r="G34" s="54" t="s">
        <v>101</v>
      </c>
      <c r="H34" s="22"/>
      <c r="I34" s="23">
        <v>4.5999999999999996</v>
      </c>
      <c r="J34" s="24">
        <v>126.9</v>
      </c>
      <c r="K34" s="19">
        <v>176.37</v>
      </c>
      <c r="L34" s="25">
        <v>0.73694505868344962</v>
      </c>
      <c r="M34" s="19">
        <v>116.6</v>
      </c>
      <c r="N34" s="18">
        <v>4.41</v>
      </c>
      <c r="O34" s="18">
        <v>56</v>
      </c>
      <c r="P34" s="25">
        <v>0.57673284442494999</v>
      </c>
    </row>
    <row r="35" spans="1:16" ht="196.5" customHeight="1">
      <c r="A35" s="28" t="s">
        <v>95</v>
      </c>
      <c r="B35" s="18">
        <v>722.92020000000002</v>
      </c>
      <c r="C35" s="20">
        <v>8.6</v>
      </c>
      <c r="D35" s="17" t="s">
        <v>27</v>
      </c>
      <c r="E35" s="21">
        <v>0.92805175200000001</v>
      </c>
      <c r="F35" s="56">
        <v>0.32477369900000003</v>
      </c>
      <c r="G35" s="54" t="s">
        <v>101</v>
      </c>
      <c r="H35" s="22"/>
      <c r="I35" s="23">
        <v>6.8</v>
      </c>
      <c r="J35" s="24">
        <v>138.69999999999999</v>
      </c>
      <c r="K35" s="19">
        <v>103.64</v>
      </c>
      <c r="L35" s="25">
        <v>1.3502894635275955</v>
      </c>
      <c r="M35" s="19">
        <v>581.20000000000005</v>
      </c>
      <c r="N35" s="18">
        <v>3.012</v>
      </c>
      <c r="O35" s="18">
        <v>76.25</v>
      </c>
      <c r="P35" s="25">
        <v>0.77791238921124783</v>
      </c>
    </row>
    <row r="36" spans="1:16" ht="185.25" customHeight="1">
      <c r="A36" s="28" t="s">
        <v>61</v>
      </c>
      <c r="B36" s="18">
        <v>873.94876999999997</v>
      </c>
      <c r="C36" s="20">
        <v>8.9</v>
      </c>
      <c r="D36" s="17" t="s">
        <v>27</v>
      </c>
      <c r="E36" s="21">
        <v>0.95</v>
      </c>
      <c r="F36" s="56">
        <v>1.366111029</v>
      </c>
      <c r="G36" s="54" t="s">
        <v>100</v>
      </c>
      <c r="H36" s="22"/>
      <c r="I36" s="23">
        <v>1.56</v>
      </c>
      <c r="J36" s="24">
        <v>136</v>
      </c>
      <c r="K36" s="19">
        <v>171.85</v>
      </c>
      <c r="L36" s="25">
        <v>0.78099505382601109</v>
      </c>
      <c r="M36" s="27" t="s">
        <v>36</v>
      </c>
      <c r="N36" s="45">
        <v>79.599999999999994</v>
      </c>
      <c r="O36" s="18">
        <v>0</v>
      </c>
      <c r="P36" s="25">
        <v>0</v>
      </c>
    </row>
    <row r="37" spans="1:16" ht="183" customHeight="1">
      <c r="A37" s="28" t="s">
        <v>62</v>
      </c>
      <c r="B37" s="18">
        <v>715.20115999999996</v>
      </c>
      <c r="C37" s="20">
        <v>6.7</v>
      </c>
      <c r="D37" s="17" t="s">
        <v>27</v>
      </c>
      <c r="E37" s="21">
        <v>0.95348416217252097</v>
      </c>
      <c r="F37" s="56">
        <v>0.45616968299999999</v>
      </c>
      <c r="G37" s="54" t="s">
        <v>101</v>
      </c>
      <c r="H37" s="22"/>
      <c r="I37" s="23">
        <v>5.4</v>
      </c>
      <c r="J37" s="24">
        <v>197.35</v>
      </c>
      <c r="K37" s="19">
        <v>155.77000000000001</v>
      </c>
      <c r="L37" s="25">
        <v>1.233587982281569</v>
      </c>
      <c r="M37" s="19">
        <v>1000</v>
      </c>
      <c r="N37" s="18">
        <v>2.1349999999999998</v>
      </c>
      <c r="O37" s="18">
        <v>0.1</v>
      </c>
      <c r="P37" s="25">
        <v>1.0142461548727187E-3</v>
      </c>
    </row>
    <row r="38" spans="1:16" ht="182.25" customHeight="1">
      <c r="A38" s="28" t="s">
        <v>63</v>
      </c>
      <c r="B38" s="18">
        <v>765.25984000000005</v>
      </c>
      <c r="C38" s="20">
        <v>6.5</v>
      </c>
      <c r="D38" s="17" t="s">
        <v>27</v>
      </c>
      <c r="E38" s="21">
        <v>0.95384550496968401</v>
      </c>
      <c r="F38" s="56">
        <v>0.397276505</v>
      </c>
      <c r="G38" s="54" t="s">
        <v>101</v>
      </c>
      <c r="H38" s="22"/>
      <c r="I38" s="23">
        <v>3.85</v>
      </c>
      <c r="J38" s="24">
        <v>157.6333333333333</v>
      </c>
      <c r="K38" s="19">
        <v>155.77000000000001</v>
      </c>
      <c r="L38" s="25">
        <v>1.1030172690505231</v>
      </c>
      <c r="M38" s="19">
        <v>898</v>
      </c>
      <c r="N38" s="18">
        <v>7.6</v>
      </c>
      <c r="O38" s="18">
        <v>53.5</v>
      </c>
      <c r="P38" s="25">
        <v>0.56320340418120107</v>
      </c>
    </row>
    <row r="39" spans="1:16" ht="190.5" customHeight="1">
      <c r="A39" s="28" t="s">
        <v>64</v>
      </c>
      <c r="B39" s="18">
        <v>667.13178000000005</v>
      </c>
      <c r="C39" s="20">
        <v>7.1</v>
      </c>
      <c r="D39" s="17" t="s">
        <v>27</v>
      </c>
      <c r="E39" s="21">
        <v>0.95818079189275496</v>
      </c>
      <c r="F39" s="56">
        <v>0.37448016499999998</v>
      </c>
      <c r="G39" s="54" t="s">
        <v>101</v>
      </c>
      <c r="H39" s="22"/>
      <c r="I39" s="23">
        <v>6.6</v>
      </c>
      <c r="J39" s="24">
        <v>153</v>
      </c>
      <c r="K39" s="19">
        <v>113.46</v>
      </c>
      <c r="L39" s="25">
        <v>1.3763528997003349</v>
      </c>
      <c r="M39" s="19">
        <v>585.86666666666656</v>
      </c>
      <c r="N39" s="18">
        <v>0.312</v>
      </c>
      <c r="O39" s="18">
        <v>33.799999999999997</v>
      </c>
      <c r="P39" s="25">
        <v>0.30061705618610901</v>
      </c>
    </row>
    <row r="40" spans="1:16" ht="186" customHeight="1">
      <c r="A40" s="28" t="s">
        <v>65</v>
      </c>
      <c r="B40" s="18">
        <v>873.98001999999997</v>
      </c>
      <c r="C40" s="20">
        <v>3.9</v>
      </c>
      <c r="D40" s="17" t="s">
        <v>27</v>
      </c>
      <c r="E40" s="21">
        <v>0.96219526110590103</v>
      </c>
      <c r="F40" s="56">
        <v>0.49851164399999998</v>
      </c>
      <c r="G40" s="54" t="s">
        <v>101</v>
      </c>
      <c r="H40" s="22"/>
      <c r="I40" s="23">
        <v>0.5</v>
      </c>
      <c r="J40" s="24">
        <v>145</v>
      </c>
      <c r="K40" s="19">
        <v>180.45</v>
      </c>
      <c r="L40" s="25">
        <v>0.79144361318924905</v>
      </c>
      <c r="M40" s="19">
        <v>52.093333333333341</v>
      </c>
      <c r="N40" s="18">
        <v>4.5750000000000002</v>
      </c>
      <c r="O40" s="18">
        <v>1</v>
      </c>
      <c r="P40" s="25">
        <v>1.03103272850602E-2</v>
      </c>
    </row>
    <row r="41" spans="1:16" ht="181.5" customHeight="1">
      <c r="A41" s="28" t="s">
        <v>66</v>
      </c>
      <c r="B41" s="18">
        <v>843.95090000000005</v>
      </c>
      <c r="C41" s="20">
        <v>6.7</v>
      </c>
      <c r="D41" s="17" t="s">
        <v>27</v>
      </c>
      <c r="E41" s="21">
        <v>0.96453446300000001</v>
      </c>
      <c r="F41" s="56">
        <v>0.44346631399999997</v>
      </c>
      <c r="G41" s="54" t="s">
        <v>101</v>
      </c>
      <c r="H41" s="22"/>
      <c r="I41" s="23">
        <v>4.4000000000000004</v>
      </c>
      <c r="J41" s="24">
        <v>133</v>
      </c>
      <c r="K41" s="19">
        <v>182.03</v>
      </c>
      <c r="L41" s="25">
        <v>0.72834697577322416</v>
      </c>
      <c r="M41" s="19">
        <v>228.2</v>
      </c>
      <c r="N41" s="18">
        <v>16.55</v>
      </c>
      <c r="O41" s="18">
        <v>0.2</v>
      </c>
      <c r="P41" s="25">
        <v>2.2443706164636396E-3</v>
      </c>
    </row>
    <row r="42" spans="1:16" ht="186" customHeight="1">
      <c r="A42" s="28" t="s">
        <v>67</v>
      </c>
      <c r="B42" s="18">
        <v>699.21669999999995</v>
      </c>
      <c r="C42" s="20">
        <v>7.6</v>
      </c>
      <c r="D42" s="17" t="s">
        <v>27</v>
      </c>
      <c r="E42" s="21">
        <v>0.97370619497503896</v>
      </c>
      <c r="F42" s="56">
        <v>0.38648733600000001</v>
      </c>
      <c r="G42" s="54" t="s">
        <v>101</v>
      </c>
      <c r="H42" s="22"/>
      <c r="I42" s="23">
        <v>7</v>
      </c>
      <c r="J42" s="24">
        <v>163.9</v>
      </c>
      <c r="K42" s="19">
        <v>111.77</v>
      </c>
      <c r="L42" s="25">
        <v>1.4449136619844323</v>
      </c>
      <c r="M42" s="19">
        <v>1000</v>
      </c>
      <c r="N42" s="18">
        <v>0.79</v>
      </c>
      <c r="O42" s="18">
        <v>32.85</v>
      </c>
      <c r="P42" s="25">
        <v>0.33022062359337434</v>
      </c>
    </row>
    <row r="43" spans="1:16" ht="182.25" customHeight="1">
      <c r="A43" s="28" t="s">
        <v>68</v>
      </c>
      <c r="B43" s="18">
        <v>884.01476000000002</v>
      </c>
      <c r="C43" s="20">
        <v>7.5</v>
      </c>
      <c r="D43" s="17" t="s">
        <v>27</v>
      </c>
      <c r="E43" s="21">
        <v>0.989557349467726</v>
      </c>
      <c r="F43" s="56">
        <v>0.36430272499999999</v>
      </c>
      <c r="G43" s="54" t="s">
        <v>101</v>
      </c>
      <c r="H43" s="22"/>
      <c r="I43" s="23">
        <v>6.05</v>
      </c>
      <c r="J43" s="24">
        <v>124</v>
      </c>
      <c r="K43" s="19">
        <v>163.29</v>
      </c>
      <c r="L43" s="25">
        <v>0.76494580194745543</v>
      </c>
      <c r="M43" s="19">
        <v>453.86666666666667</v>
      </c>
      <c r="N43" s="18">
        <v>3.07</v>
      </c>
      <c r="O43" s="18">
        <v>30</v>
      </c>
      <c r="P43" s="25">
        <v>0.30618411460415662</v>
      </c>
    </row>
    <row r="44" spans="1:16" ht="189" customHeight="1">
      <c r="A44" s="28" t="s">
        <v>69</v>
      </c>
      <c r="B44" s="18">
        <v>736.79453999999998</v>
      </c>
      <c r="C44" s="20">
        <v>6.5</v>
      </c>
      <c r="D44" s="17" t="s">
        <v>27</v>
      </c>
      <c r="E44" s="21">
        <v>1.05279720567767</v>
      </c>
      <c r="F44" s="56">
        <v>0.42916358999999998</v>
      </c>
      <c r="G44" s="54" t="s">
        <v>101</v>
      </c>
      <c r="H44" s="22"/>
      <c r="I44" s="23">
        <v>2.65</v>
      </c>
      <c r="J44" s="24">
        <v>129</v>
      </c>
      <c r="K44" s="19">
        <v>168.09</v>
      </c>
      <c r="L44" s="25">
        <v>0.76182402284490447</v>
      </c>
      <c r="M44" s="19">
        <v>5.6333333333333329</v>
      </c>
      <c r="N44" s="18">
        <v>20.8</v>
      </c>
      <c r="O44" s="18">
        <v>64</v>
      </c>
      <c r="P44" s="25">
        <v>0.74146341463414633</v>
      </c>
    </row>
    <row r="45" spans="1:16" ht="183" customHeight="1">
      <c r="A45" s="28" t="s">
        <v>70</v>
      </c>
      <c r="B45" s="18">
        <v>695.18493999999998</v>
      </c>
      <c r="C45" s="20">
        <v>8</v>
      </c>
      <c r="D45" s="17" t="s">
        <v>27</v>
      </c>
      <c r="E45" s="21">
        <v>1.108761831</v>
      </c>
      <c r="F45" s="56">
        <v>0.21865868899999999</v>
      </c>
      <c r="G45" s="54" t="s">
        <v>101</v>
      </c>
      <c r="H45" s="22"/>
      <c r="I45" s="23">
        <v>6.5</v>
      </c>
      <c r="J45" s="43" t="s">
        <v>36</v>
      </c>
      <c r="K45" s="19">
        <v>113.46</v>
      </c>
      <c r="L45" s="25">
        <v>1.4346377578001057</v>
      </c>
      <c r="M45" s="19">
        <v>626.80000000000007</v>
      </c>
      <c r="N45" s="18">
        <v>0.38700000000000001</v>
      </c>
      <c r="O45" s="18">
        <v>14.95</v>
      </c>
      <c r="P45" s="25">
        <v>0.14988111224650713</v>
      </c>
    </row>
    <row r="46" spans="1:16" ht="193.5" customHeight="1">
      <c r="A46" s="28" t="s">
        <v>71</v>
      </c>
      <c r="B46" s="18">
        <v>760.83745999999996</v>
      </c>
      <c r="C46" s="20">
        <v>6.7</v>
      </c>
      <c r="D46" s="17" t="s">
        <v>27</v>
      </c>
      <c r="E46" s="21">
        <v>1.1165093380441899</v>
      </c>
      <c r="F46" s="56">
        <v>0.56040886899999998</v>
      </c>
      <c r="G46" s="54" t="s">
        <v>101</v>
      </c>
      <c r="H46" s="22"/>
      <c r="I46" s="23">
        <v>3.7</v>
      </c>
      <c r="J46" s="24">
        <v>122.1</v>
      </c>
      <c r="K46" s="19">
        <v>168.18</v>
      </c>
      <c r="L46" s="25">
        <v>0.73691877750029733</v>
      </c>
      <c r="M46" s="19">
        <v>55.960000000000008</v>
      </c>
      <c r="N46" s="18">
        <v>7.88</v>
      </c>
      <c r="O46" s="18">
        <v>42</v>
      </c>
      <c r="P46" s="25">
        <v>0.44737016209063846</v>
      </c>
    </row>
    <row r="47" spans="1:16" ht="187.5" customHeight="1">
      <c r="A47" s="28" t="s">
        <v>72</v>
      </c>
      <c r="B47" s="18">
        <v>734.28556000000003</v>
      </c>
      <c r="C47" s="20">
        <v>7.4</v>
      </c>
      <c r="D47" s="17" t="s">
        <v>27</v>
      </c>
      <c r="E47" s="21">
        <v>1.14103094172853</v>
      </c>
      <c r="F47" s="56">
        <v>0.41847994199999999</v>
      </c>
      <c r="G47" s="54" t="s">
        <v>101</v>
      </c>
      <c r="H47" s="22"/>
      <c r="I47" s="23">
        <v>3.2</v>
      </c>
      <c r="J47" s="24">
        <v>148.4</v>
      </c>
      <c r="K47" s="19">
        <v>125.01</v>
      </c>
      <c r="L47" s="25">
        <v>1.171418286537077</v>
      </c>
      <c r="M47" s="19">
        <v>806.00000000000011</v>
      </c>
      <c r="N47" s="18">
        <v>28</v>
      </c>
      <c r="O47" s="18">
        <v>11.3</v>
      </c>
      <c r="P47" s="25">
        <v>0.13851612903225807</v>
      </c>
    </row>
    <row r="48" spans="1:16" ht="184.5" customHeight="1">
      <c r="A48" s="28" t="s">
        <v>73</v>
      </c>
      <c r="B48" s="18">
        <v>862.46114</v>
      </c>
      <c r="C48" s="20">
        <v>8.9</v>
      </c>
      <c r="D48" s="17" t="s">
        <v>27</v>
      </c>
      <c r="E48" s="21">
        <v>1.2</v>
      </c>
      <c r="F48" s="56">
        <v>0.74607744499999995</v>
      </c>
      <c r="G48" s="54" t="s">
        <v>101</v>
      </c>
      <c r="H48" s="22"/>
      <c r="I48" s="23">
        <v>1.8</v>
      </c>
      <c r="J48" s="24">
        <v>154</v>
      </c>
      <c r="K48" s="19">
        <v>177.82</v>
      </c>
      <c r="L48" s="25">
        <v>0.78732988415251381</v>
      </c>
      <c r="M48" s="19">
        <v>262.8</v>
      </c>
      <c r="N48" s="18">
        <v>18.2</v>
      </c>
      <c r="O48" s="18">
        <v>0</v>
      </c>
      <c r="P48" s="25">
        <v>0</v>
      </c>
    </row>
    <row r="49" spans="1:16" ht="182.25" customHeight="1">
      <c r="A49" s="28" t="s">
        <v>74</v>
      </c>
      <c r="B49" s="18">
        <v>818.40527999999995</v>
      </c>
      <c r="C49" s="20">
        <v>7.7</v>
      </c>
      <c r="D49" s="17" t="s">
        <v>27</v>
      </c>
      <c r="E49" s="21">
        <v>1.21801916838158</v>
      </c>
      <c r="F49" s="56">
        <v>0.457095631</v>
      </c>
      <c r="G49" s="54" t="s">
        <v>101</v>
      </c>
      <c r="H49" s="22"/>
      <c r="I49" s="23">
        <v>6.9</v>
      </c>
      <c r="J49" s="24">
        <v>164.8</v>
      </c>
      <c r="K49" s="19">
        <v>141.13999999999999</v>
      </c>
      <c r="L49" s="25">
        <v>1.1578999574890181</v>
      </c>
      <c r="M49" s="19">
        <v>1000</v>
      </c>
      <c r="N49" s="18">
        <v>6.53</v>
      </c>
      <c r="O49" s="18">
        <v>19</v>
      </c>
      <c r="P49" s="25">
        <v>0.19852890630370523</v>
      </c>
    </row>
    <row r="50" spans="1:16" ht="184.5" customHeight="1">
      <c r="A50" s="28" t="s">
        <v>75</v>
      </c>
      <c r="B50" s="18">
        <v>752.83370000000002</v>
      </c>
      <c r="C50" s="20">
        <v>6.7</v>
      </c>
      <c r="D50" s="17" t="s">
        <v>27</v>
      </c>
      <c r="E50" s="21">
        <v>1.2224636172693599</v>
      </c>
      <c r="F50" s="56">
        <v>0.57542579199999999</v>
      </c>
      <c r="G50" s="54" t="s">
        <v>101</v>
      </c>
      <c r="H50" s="22"/>
      <c r="I50" s="23">
        <v>3.1</v>
      </c>
      <c r="J50" s="43" t="s">
        <v>36</v>
      </c>
      <c r="K50" s="19">
        <v>159.9</v>
      </c>
      <c r="L50" s="25">
        <v>0.76455909943714817</v>
      </c>
      <c r="M50" s="19">
        <v>101.4666666666667</v>
      </c>
      <c r="N50" s="18">
        <v>10.465</v>
      </c>
      <c r="O50" s="18">
        <v>111</v>
      </c>
      <c r="P50" s="25">
        <v>1.1920726498393193</v>
      </c>
    </row>
    <row r="51" spans="1:16" ht="183" customHeight="1">
      <c r="A51" s="28" t="s">
        <v>76</v>
      </c>
      <c r="B51" s="18">
        <v>868.01535999999999</v>
      </c>
      <c r="C51" s="20">
        <v>7.7</v>
      </c>
      <c r="D51" s="17" t="s">
        <v>27</v>
      </c>
      <c r="E51" s="21">
        <v>1.2535064691559701</v>
      </c>
      <c r="F51" s="56">
        <v>0.37843216600000001</v>
      </c>
      <c r="G51" s="54" t="s">
        <v>101</v>
      </c>
      <c r="H51" s="22"/>
      <c r="I51" s="23">
        <v>4.9000000000000004</v>
      </c>
      <c r="J51" s="24">
        <v>142</v>
      </c>
      <c r="K51" s="19">
        <v>154.06</v>
      </c>
      <c r="L51" s="25">
        <v>0.89285992470466047</v>
      </c>
      <c r="M51" s="19">
        <v>427.73333333333329</v>
      </c>
      <c r="N51" s="18">
        <v>5.64</v>
      </c>
      <c r="O51" s="18">
        <v>3</v>
      </c>
      <c r="P51" s="25">
        <v>3.1156053806668686E-2</v>
      </c>
    </row>
    <row r="52" spans="1:16" ht="182.25" customHeight="1">
      <c r="A52" s="28" t="s">
        <v>77</v>
      </c>
      <c r="B52" s="18">
        <v>777.86468000000002</v>
      </c>
      <c r="C52" s="20">
        <v>8.1</v>
      </c>
      <c r="D52" s="17" t="s">
        <v>27</v>
      </c>
      <c r="E52" s="21">
        <v>1.26</v>
      </c>
      <c r="F52" s="56">
        <v>0.50273939199999995</v>
      </c>
      <c r="G52" s="54" t="s">
        <v>101</v>
      </c>
      <c r="H52" s="22"/>
      <c r="I52" s="23"/>
      <c r="J52" s="24">
        <v>165</v>
      </c>
      <c r="K52" s="19">
        <v>163.35</v>
      </c>
      <c r="L52" s="25">
        <v>0.75790021426385068</v>
      </c>
      <c r="M52" s="19">
        <v>63.38666666666667</v>
      </c>
      <c r="N52" s="18">
        <v>23.5</v>
      </c>
      <c r="O52" s="18">
        <v>20</v>
      </c>
      <c r="P52" s="25">
        <v>0.23657587548638132</v>
      </c>
    </row>
    <row r="53" spans="1:16" ht="171" customHeight="1">
      <c r="A53" s="28" t="s">
        <v>78</v>
      </c>
      <c r="B53" s="18">
        <v>711.18763999999999</v>
      </c>
      <c r="C53" s="20">
        <v>7.7</v>
      </c>
      <c r="D53" s="17" t="s">
        <v>27</v>
      </c>
      <c r="E53" s="21">
        <v>1.2600207233320599</v>
      </c>
      <c r="F53" s="56">
        <v>0.38542996499999999</v>
      </c>
      <c r="G53" s="54" t="s">
        <v>101</v>
      </c>
      <c r="H53" s="22"/>
      <c r="I53" s="23"/>
      <c r="J53" s="43" t="s">
        <v>36</v>
      </c>
      <c r="K53" s="19">
        <v>129.07</v>
      </c>
      <c r="L53" s="25">
        <v>1.2302161617726814</v>
      </c>
      <c r="M53" s="19">
        <v>525.73333333333335</v>
      </c>
      <c r="N53" s="18">
        <v>2.62</v>
      </c>
      <c r="O53" s="18">
        <v>0.32</v>
      </c>
      <c r="P53" s="25">
        <v>3.2561253294029298E-3</v>
      </c>
    </row>
    <row r="54" spans="1:16" ht="188.25" customHeight="1">
      <c r="A54" s="28" t="s">
        <v>79</v>
      </c>
      <c r="B54" s="18">
        <v>759.85599999999999</v>
      </c>
      <c r="C54" s="20">
        <v>7.2</v>
      </c>
      <c r="D54" s="17" t="s">
        <v>27</v>
      </c>
      <c r="E54" s="21">
        <v>1.2610937579999999</v>
      </c>
      <c r="F54" s="56">
        <v>0.43071526399999999</v>
      </c>
      <c r="G54" s="54" t="s">
        <v>101</v>
      </c>
      <c r="H54" s="22"/>
      <c r="I54" s="23">
        <v>2.1</v>
      </c>
      <c r="J54" s="43" t="s">
        <v>36</v>
      </c>
      <c r="K54" s="19">
        <v>165.92</v>
      </c>
      <c r="L54" s="25">
        <v>0.7913271456123433</v>
      </c>
      <c r="M54" s="19">
        <v>74.813333333333347</v>
      </c>
      <c r="N54" s="18">
        <v>19.75</v>
      </c>
      <c r="O54" s="18">
        <v>13</v>
      </c>
      <c r="P54" s="25">
        <v>0.149413988657845</v>
      </c>
    </row>
    <row r="55" spans="1:16" ht="189" customHeight="1" thickBot="1">
      <c r="A55" s="28" t="s">
        <v>80</v>
      </c>
      <c r="B55" s="18">
        <v>853.98878000000002</v>
      </c>
      <c r="C55" s="20">
        <v>7.6</v>
      </c>
      <c r="D55" s="17" t="s">
        <v>27</v>
      </c>
      <c r="E55" s="21">
        <v>1.32045774667947</v>
      </c>
      <c r="F55" s="56">
        <v>0.60732456300000004</v>
      </c>
      <c r="G55" s="54" t="s">
        <v>101</v>
      </c>
      <c r="H55" s="22"/>
      <c r="I55" s="23">
        <v>5.4</v>
      </c>
      <c r="J55" s="24">
        <v>136.85</v>
      </c>
      <c r="K55" s="19">
        <v>154.06</v>
      </c>
      <c r="L55" s="25">
        <v>0.86971309879267822</v>
      </c>
      <c r="M55" s="19">
        <v>590</v>
      </c>
      <c r="N55" s="18">
        <v>6.83</v>
      </c>
      <c r="O55" s="18">
        <v>18.100000000000001</v>
      </c>
      <c r="P55" s="25">
        <v>0.19302518896746382</v>
      </c>
    </row>
    <row r="56" spans="1:16" ht="188.25" customHeight="1" thickBot="1">
      <c r="A56" s="28" t="s">
        <v>81</v>
      </c>
      <c r="B56" s="18">
        <v>839.96220000000005</v>
      </c>
      <c r="C56" s="20">
        <v>7.5</v>
      </c>
      <c r="D56" s="17" t="s">
        <v>27</v>
      </c>
      <c r="E56" s="21">
        <v>1.3218015914632699</v>
      </c>
      <c r="F56" s="56">
        <v>0.47150184499999998</v>
      </c>
      <c r="G56" s="54" t="s">
        <v>101</v>
      </c>
      <c r="H56" s="22"/>
      <c r="I56" s="23">
        <v>4.45</v>
      </c>
      <c r="J56" s="29">
        <v>135.375</v>
      </c>
      <c r="K56" s="19">
        <v>154.06</v>
      </c>
      <c r="L56" s="25">
        <v>0.86868103336362457</v>
      </c>
      <c r="M56" s="19">
        <v>257</v>
      </c>
      <c r="N56" s="18">
        <v>21.65</v>
      </c>
      <c r="O56" s="18">
        <v>1</v>
      </c>
      <c r="P56" s="25">
        <v>1.1660912926735711E-2</v>
      </c>
    </row>
    <row r="57" spans="1:16" ht="183.75" customHeight="1">
      <c r="A57" s="28" t="s">
        <v>82</v>
      </c>
      <c r="B57" s="18">
        <v>853.98878000000002</v>
      </c>
      <c r="C57" s="20">
        <v>6.6</v>
      </c>
      <c r="D57" s="17" t="s">
        <v>27</v>
      </c>
      <c r="E57" s="21">
        <v>1.3411725560234899</v>
      </c>
      <c r="F57" s="56">
        <v>0.66184180199999998</v>
      </c>
      <c r="G57" s="54" t="s">
        <v>101</v>
      </c>
      <c r="H57" s="22"/>
      <c r="I57" s="23">
        <v>5.5</v>
      </c>
      <c r="J57" s="24">
        <v>135.69999999999999</v>
      </c>
      <c r="K57" s="19">
        <v>154.06</v>
      </c>
      <c r="L57" s="25">
        <v>0.87181617551603274</v>
      </c>
      <c r="M57" s="19">
        <v>123.8</v>
      </c>
      <c r="N57" s="18">
        <v>5.97</v>
      </c>
      <c r="O57" s="18">
        <v>45</v>
      </c>
      <c r="P57" s="25">
        <v>0.4683969047456002</v>
      </c>
    </row>
    <row r="58" spans="1:16" ht="183.75" customHeight="1" thickBot="1">
      <c r="A58" s="28" t="s">
        <v>83</v>
      </c>
      <c r="B58" s="18">
        <v>714.81538</v>
      </c>
      <c r="C58" s="20">
        <v>7.8</v>
      </c>
      <c r="D58" s="17" t="s">
        <v>27</v>
      </c>
      <c r="E58" s="21">
        <v>1.3454145513639799</v>
      </c>
      <c r="F58" s="56">
        <v>0.49182429900000002</v>
      </c>
      <c r="G58" s="54" t="s">
        <v>101</v>
      </c>
      <c r="H58" s="22"/>
      <c r="I58" s="23">
        <v>2.6</v>
      </c>
      <c r="J58" s="24">
        <v>133.19999999999999</v>
      </c>
      <c r="K58" s="19">
        <v>143.91999999999999</v>
      </c>
      <c r="L58" s="25">
        <v>0.9200736520289049</v>
      </c>
      <c r="M58" s="19">
        <v>43.266666666666673</v>
      </c>
      <c r="N58" s="18">
        <v>18.600000000000001</v>
      </c>
      <c r="O58" s="18">
        <v>47</v>
      </c>
      <c r="P58" s="25">
        <v>0.48307114890325786</v>
      </c>
    </row>
    <row r="59" spans="1:16" ht="183.75" customHeight="1" thickBot="1">
      <c r="A59" s="28" t="s">
        <v>84</v>
      </c>
      <c r="B59" s="18">
        <v>695.18493999999998</v>
      </c>
      <c r="C59" s="20">
        <v>8</v>
      </c>
      <c r="D59" s="17" t="s">
        <v>27</v>
      </c>
      <c r="E59" s="21">
        <v>1.3730713360797699</v>
      </c>
      <c r="F59" s="56">
        <v>0.39116472200000002</v>
      </c>
      <c r="G59" s="54" t="s">
        <v>101</v>
      </c>
      <c r="H59" s="22"/>
      <c r="I59" s="23"/>
      <c r="J59" s="44" t="s">
        <v>36</v>
      </c>
      <c r="K59" s="19">
        <v>113.46</v>
      </c>
      <c r="L59" s="25">
        <v>1.4346377578001057</v>
      </c>
      <c r="M59" s="19">
        <v>677.2</v>
      </c>
      <c r="N59" s="18">
        <v>1.44</v>
      </c>
      <c r="O59" s="18">
        <v>9</v>
      </c>
      <c r="P59" s="25">
        <v>9.0860786571253363E-2</v>
      </c>
    </row>
    <row r="60" spans="1:16" ht="183" customHeight="1">
      <c r="A60" s="28" t="s">
        <v>85</v>
      </c>
      <c r="B60" s="18">
        <v>848.99048000000005</v>
      </c>
      <c r="C60" s="20">
        <v>7</v>
      </c>
      <c r="D60" s="17" t="s">
        <v>27</v>
      </c>
      <c r="E60" s="21">
        <v>1.51</v>
      </c>
      <c r="F60" s="56">
        <v>0.56257088600000005</v>
      </c>
      <c r="G60" s="54" t="s">
        <v>101</v>
      </c>
      <c r="H60" s="22"/>
      <c r="I60" s="23">
        <v>3.3</v>
      </c>
      <c r="J60" s="24">
        <v>109.4</v>
      </c>
      <c r="K60" s="19">
        <v>169.03</v>
      </c>
      <c r="L60" s="25">
        <v>0.65691297402827897</v>
      </c>
      <c r="M60" s="19">
        <v>772</v>
      </c>
      <c r="N60" s="18">
        <v>15</v>
      </c>
      <c r="O60" s="18">
        <v>0.2</v>
      </c>
      <c r="P60" s="25">
        <v>2.2189781507805434E-3</v>
      </c>
    </row>
    <row r="61" spans="1:16" ht="180.75" customHeight="1">
      <c r="A61" s="28" t="s">
        <v>86</v>
      </c>
      <c r="B61" s="18">
        <v>853.98878000000002</v>
      </c>
      <c r="C61" s="20">
        <v>7.6</v>
      </c>
      <c r="D61" s="17" t="s">
        <v>27</v>
      </c>
      <c r="E61" s="21">
        <v>1.51</v>
      </c>
      <c r="F61" s="56">
        <v>0.62844646000000004</v>
      </c>
      <c r="G61" s="54" t="s">
        <v>101</v>
      </c>
      <c r="H61" s="22"/>
      <c r="I61" s="23">
        <v>4.8</v>
      </c>
      <c r="J61" s="24">
        <v>135.96250000000001</v>
      </c>
      <c r="K61" s="19">
        <v>154.06</v>
      </c>
      <c r="L61" s="25">
        <v>0.87877450344021812</v>
      </c>
      <c r="M61" s="19">
        <v>176.8</v>
      </c>
      <c r="N61" s="18">
        <v>8.35</v>
      </c>
      <c r="O61" s="18">
        <v>26.7</v>
      </c>
      <c r="P61" s="25">
        <v>0.28377669555651608</v>
      </c>
    </row>
    <row r="62" spans="1:16" ht="187.5" customHeight="1">
      <c r="A62" s="28" t="s">
        <v>87</v>
      </c>
      <c r="B62" s="18">
        <v>859.96524999999997</v>
      </c>
      <c r="C62" s="20">
        <v>9.1999999999999993</v>
      </c>
      <c r="D62" s="17" t="s">
        <v>27</v>
      </c>
      <c r="E62" s="21">
        <v>1.6</v>
      </c>
      <c r="F62" s="56">
        <v>1.9484860340000001</v>
      </c>
      <c r="G62" s="54" t="s">
        <v>100</v>
      </c>
      <c r="H62" s="22"/>
      <c r="I62" s="23">
        <v>1.26</v>
      </c>
      <c r="J62" s="24">
        <v>137</v>
      </c>
      <c r="K62" s="19">
        <v>154.78</v>
      </c>
      <c r="L62" s="25">
        <v>0.88552138519188528</v>
      </c>
      <c r="M62" s="19">
        <v>216.6</v>
      </c>
      <c r="N62" s="18">
        <v>47.5</v>
      </c>
      <c r="O62" s="18">
        <v>0</v>
      </c>
      <c r="P62" s="25">
        <v>0</v>
      </c>
    </row>
    <row r="63" spans="1:16" ht="185.25" customHeight="1">
      <c r="A63" s="28" t="s">
        <v>88</v>
      </c>
      <c r="B63" s="18">
        <v>698.21370000000002</v>
      </c>
      <c r="C63" s="20">
        <v>8.3000000000000007</v>
      </c>
      <c r="D63" s="17" t="s">
        <v>27</v>
      </c>
      <c r="E63" s="21">
        <v>1.6057602190897799</v>
      </c>
      <c r="F63" s="56">
        <v>0.479505297</v>
      </c>
      <c r="G63" s="54" t="s">
        <v>101</v>
      </c>
      <c r="H63" s="22"/>
      <c r="I63" s="23">
        <v>5.3</v>
      </c>
      <c r="J63" s="24">
        <v>205.3</v>
      </c>
      <c r="K63" s="19">
        <v>133.77000000000001</v>
      </c>
      <c r="L63" s="25">
        <v>1.3553786349704717</v>
      </c>
      <c r="M63" s="19">
        <v>58.840000000000011</v>
      </c>
      <c r="N63" s="18">
        <v>3.79</v>
      </c>
      <c r="O63" s="18">
        <v>0.4</v>
      </c>
      <c r="P63" s="25">
        <v>4.1021489053064807E-3</v>
      </c>
    </row>
    <row r="64" spans="1:16" ht="183" customHeight="1">
      <c r="A64" s="28" t="s">
        <v>89</v>
      </c>
      <c r="B64" s="18">
        <v>851.99794999999995</v>
      </c>
      <c r="C64" s="20">
        <v>8.6999999999999993</v>
      </c>
      <c r="D64" s="17" t="s">
        <v>27</v>
      </c>
      <c r="E64" s="21">
        <v>1.61915747512946</v>
      </c>
      <c r="F64" s="56">
        <v>0.53361898699999999</v>
      </c>
      <c r="G64" s="54" t="s">
        <v>101</v>
      </c>
      <c r="H64" s="22"/>
      <c r="I64" s="23">
        <v>5.0999999999999996</v>
      </c>
      <c r="J64" s="24">
        <v>141.6</v>
      </c>
      <c r="K64" s="19">
        <v>112.46</v>
      </c>
      <c r="L64" s="25">
        <v>1.2317624044104571</v>
      </c>
      <c r="M64" s="19">
        <v>865.33333333333337</v>
      </c>
      <c r="N64" s="18">
        <v>30.9</v>
      </c>
      <c r="O64" s="18">
        <v>7.3</v>
      </c>
      <c r="P64" s="25">
        <v>8.7861271676300576E-2</v>
      </c>
    </row>
    <row r="65" spans="1:16" ht="186.75" customHeight="1">
      <c r="A65" s="28" t="s">
        <v>90</v>
      </c>
      <c r="B65" s="18">
        <v>880.06582000000003</v>
      </c>
      <c r="C65" s="20">
        <v>8.6999999999999993</v>
      </c>
      <c r="D65" s="17" t="s">
        <v>27</v>
      </c>
      <c r="E65" s="21">
        <v>1.908469916</v>
      </c>
      <c r="F65" s="56">
        <v>0.62733303900000004</v>
      </c>
      <c r="G65" s="54" t="s">
        <v>101</v>
      </c>
      <c r="H65" s="22"/>
      <c r="I65" s="23">
        <v>4.4329999999999998</v>
      </c>
      <c r="J65" s="24">
        <v>135</v>
      </c>
      <c r="K65" s="19">
        <v>152.22</v>
      </c>
      <c r="L65" s="25">
        <v>0.90312048351070817</v>
      </c>
      <c r="M65" s="19">
        <v>180.2</v>
      </c>
      <c r="N65" s="18">
        <v>4.2300000000000004</v>
      </c>
      <c r="O65" s="18">
        <v>33.65</v>
      </c>
      <c r="P65" s="25">
        <v>0.34613250321445488</v>
      </c>
    </row>
    <row r="66" spans="1:16" ht="186" customHeight="1">
      <c r="A66" s="28" t="s">
        <v>91</v>
      </c>
      <c r="B66" s="18">
        <v>744.84136000000001</v>
      </c>
      <c r="C66" s="20">
        <v>8.1</v>
      </c>
      <c r="D66" s="17" t="s">
        <v>27</v>
      </c>
      <c r="E66" s="21">
        <v>2.21</v>
      </c>
      <c r="F66" s="56">
        <v>0.92741039000000003</v>
      </c>
      <c r="G66" s="54" t="s">
        <v>101</v>
      </c>
      <c r="H66" s="22"/>
      <c r="I66" s="23">
        <v>1.5</v>
      </c>
      <c r="J66" s="24">
        <v>139.9</v>
      </c>
      <c r="K66" s="19">
        <v>162.68</v>
      </c>
      <c r="L66" s="25">
        <v>0.84278952544873376</v>
      </c>
      <c r="M66" s="19">
        <v>13.46666666666667</v>
      </c>
      <c r="N66" s="18">
        <v>60.65</v>
      </c>
      <c r="O66" s="18">
        <v>0</v>
      </c>
      <c r="P66" s="25">
        <v>0</v>
      </c>
    </row>
    <row r="67" spans="1:16" ht="183" customHeight="1">
      <c r="A67" s="28" t="s">
        <v>92</v>
      </c>
      <c r="B67" s="18">
        <v>859.92219</v>
      </c>
      <c r="C67" s="20">
        <v>8.5</v>
      </c>
      <c r="D67" s="17" t="s">
        <v>27</v>
      </c>
      <c r="E67" s="21">
        <v>2.5</v>
      </c>
      <c r="F67" s="56">
        <v>0.87969985100000003</v>
      </c>
      <c r="G67" s="54" t="s">
        <v>101</v>
      </c>
      <c r="H67" s="22"/>
      <c r="I67" s="23">
        <v>1.61</v>
      </c>
      <c r="J67" s="24">
        <v>132.46841190000001</v>
      </c>
      <c r="K67" s="19">
        <v>171.85</v>
      </c>
      <c r="L67" s="25">
        <v>0.76253127727669479</v>
      </c>
      <c r="M67" s="27" t="s">
        <v>36</v>
      </c>
      <c r="N67" s="45">
        <v>32.5</v>
      </c>
      <c r="O67" s="18">
        <v>0</v>
      </c>
      <c r="P67" s="25">
        <v>0</v>
      </c>
    </row>
    <row r="68" spans="1:16" ht="180.75" customHeight="1">
      <c r="A68" s="28" t="s">
        <v>93</v>
      </c>
      <c r="B68" s="45">
        <v>848.43456000000003</v>
      </c>
      <c r="C68" s="19">
        <v>7.9</v>
      </c>
      <c r="D68" s="20" t="s">
        <v>27</v>
      </c>
      <c r="E68" s="21">
        <v>-0.36</v>
      </c>
      <c r="F68" s="56">
        <v>0.73556181099999995</v>
      </c>
      <c r="G68" s="54" t="s">
        <v>100</v>
      </c>
      <c r="H68" s="46"/>
      <c r="I68" s="47" t="s">
        <v>36</v>
      </c>
      <c r="J68" s="43">
        <v>144.19999999999999</v>
      </c>
      <c r="K68" s="19">
        <v>177.82</v>
      </c>
      <c r="L68" s="25">
        <v>0.73442807333258353</v>
      </c>
      <c r="M68" s="19">
        <v>19.8</v>
      </c>
      <c r="N68" s="18">
        <v>7.875</v>
      </c>
      <c r="O68" s="18">
        <v>0</v>
      </c>
      <c r="P68" s="25">
        <v>0</v>
      </c>
    </row>
    <row r="69" spans="1:16" ht="177.75" customHeight="1">
      <c r="A69" s="28" t="s">
        <v>94</v>
      </c>
      <c r="B69" s="45">
        <v>889.94817</v>
      </c>
      <c r="C69" s="19">
        <v>7.2</v>
      </c>
      <c r="D69" s="20" t="s">
        <v>27</v>
      </c>
      <c r="E69" s="21">
        <v>2.21</v>
      </c>
      <c r="F69" s="56">
        <v>1.1672969639999999</v>
      </c>
      <c r="G69" s="54" t="s">
        <v>101</v>
      </c>
      <c r="H69" s="46"/>
      <c r="I69" s="47">
        <v>2.2000000000000002</v>
      </c>
      <c r="J69" s="43">
        <v>120</v>
      </c>
      <c r="K69" s="19">
        <v>181.08</v>
      </c>
      <c r="L69" s="25">
        <v>0.74601281201678815</v>
      </c>
      <c r="M69" s="19">
        <v>26.32</v>
      </c>
      <c r="N69" s="18" t="s">
        <v>105</v>
      </c>
      <c r="O69" s="18">
        <v>0</v>
      </c>
      <c r="P69" s="25">
        <v>0</v>
      </c>
    </row>
    <row r="70" spans="1:16">
      <c r="I70" s="26"/>
    </row>
    <row r="71" spans="1:16">
      <c r="I71" s="26"/>
    </row>
    <row r="72" spans="1:16">
      <c r="I72" s="26"/>
    </row>
    <row r="73" spans="1:16">
      <c r="I73" s="26"/>
    </row>
    <row r="74" spans="1:16">
      <c r="I74" s="26"/>
    </row>
    <row r="75" spans="1:16">
      <c r="I75" s="26"/>
    </row>
    <row r="76" spans="1:16">
      <c r="I76" s="26"/>
    </row>
    <row r="77" spans="1:16">
      <c r="I77" s="26"/>
    </row>
    <row r="78" spans="1:16">
      <c r="I78" s="26"/>
    </row>
    <row r="79" spans="1:16">
      <c r="I79" s="26"/>
    </row>
    <row r="80" spans="1:16">
      <c r="I80" s="26"/>
    </row>
    <row r="81" spans="9:9">
      <c r="I81" s="26"/>
    </row>
    <row r="82" spans="9:9">
      <c r="I82" s="26"/>
    </row>
    <row r="83" spans="9:9">
      <c r="I83" s="26"/>
    </row>
    <row r="84" spans="9:9">
      <c r="I84" s="26"/>
    </row>
    <row r="85" spans="9:9">
      <c r="I85" s="26"/>
    </row>
    <row r="86" spans="9:9">
      <c r="I86" s="26"/>
    </row>
    <row r="87" spans="9:9">
      <c r="I87" s="26"/>
    </row>
    <row r="88" spans="9:9">
      <c r="I88" s="26"/>
    </row>
    <row r="89" spans="9:9">
      <c r="I89" s="26"/>
    </row>
    <row r="90" spans="9:9">
      <c r="I90" s="26"/>
    </row>
    <row r="91" spans="9:9">
      <c r="I91" s="26"/>
    </row>
    <row r="92" spans="9:9">
      <c r="I92" s="26"/>
    </row>
    <row r="93" spans="9:9">
      <c r="I93" s="26"/>
    </row>
    <row r="94" spans="9:9">
      <c r="I94" s="26"/>
    </row>
    <row r="95" spans="9:9">
      <c r="I95" s="26"/>
    </row>
    <row r="96" spans="9:9">
      <c r="I96" s="26"/>
    </row>
    <row r="97" spans="9:9">
      <c r="I97" s="26"/>
    </row>
    <row r="98" spans="9:9">
      <c r="I98" s="26"/>
    </row>
    <row r="99" spans="9:9">
      <c r="I99" s="26"/>
    </row>
    <row r="100" spans="9:9">
      <c r="I100" s="26"/>
    </row>
    <row r="101" spans="9:9">
      <c r="I101" s="26"/>
    </row>
    <row r="102" spans="9:9">
      <c r="I102" s="26"/>
    </row>
    <row r="103" spans="9:9">
      <c r="I103" s="26"/>
    </row>
    <row r="104" spans="9:9">
      <c r="I104" s="26"/>
    </row>
    <row r="105" spans="9:9">
      <c r="I105" s="26"/>
    </row>
    <row r="106" spans="9:9">
      <c r="I106" s="26"/>
    </row>
    <row r="107" spans="9:9">
      <c r="I107" s="26"/>
    </row>
    <row r="108" spans="9:9">
      <c r="I108" s="26"/>
    </row>
    <row r="109" spans="9:9">
      <c r="I109" s="26"/>
    </row>
    <row r="110" spans="9:9">
      <c r="I110" s="26"/>
    </row>
    <row r="111" spans="9:9">
      <c r="I111" s="26"/>
    </row>
    <row r="112" spans="9:9">
      <c r="I112" s="26"/>
    </row>
    <row r="113" spans="9:9">
      <c r="I113" s="26"/>
    </row>
    <row r="114" spans="9:9">
      <c r="I114" s="26"/>
    </row>
    <row r="115" spans="9:9">
      <c r="I115" s="26"/>
    </row>
    <row r="116" spans="9:9">
      <c r="I116" s="26"/>
    </row>
    <row r="117" spans="9:9">
      <c r="I117" s="26"/>
    </row>
    <row r="118" spans="9:9">
      <c r="I118" s="26"/>
    </row>
    <row r="119" spans="9:9">
      <c r="I119" s="26"/>
    </row>
    <row r="120" spans="9:9">
      <c r="I120" s="26"/>
    </row>
    <row r="121" spans="9:9">
      <c r="I121" s="26"/>
    </row>
    <row r="122" spans="9:9">
      <c r="I122" s="26"/>
    </row>
    <row r="123" spans="9:9">
      <c r="I123" s="26"/>
    </row>
    <row r="124" spans="9:9">
      <c r="I124" s="26"/>
    </row>
    <row r="125" spans="9:9">
      <c r="I125" s="26"/>
    </row>
    <row r="126" spans="9:9">
      <c r="I126" s="26"/>
    </row>
    <row r="127" spans="9:9">
      <c r="I127" s="26"/>
    </row>
    <row r="128" spans="9:9">
      <c r="I128" s="26"/>
    </row>
    <row r="129" spans="9:9">
      <c r="I129" s="26"/>
    </row>
    <row r="130" spans="9:9">
      <c r="I130" s="26"/>
    </row>
    <row r="131" spans="9:9">
      <c r="I131" s="26"/>
    </row>
    <row r="132" spans="9:9">
      <c r="I132" s="26"/>
    </row>
    <row r="133" spans="9:9">
      <c r="I133" s="26"/>
    </row>
    <row r="134" spans="9:9">
      <c r="I134" s="26"/>
    </row>
    <row r="135" spans="9:9">
      <c r="I135" s="26"/>
    </row>
    <row r="136" spans="9:9">
      <c r="I136" s="26"/>
    </row>
    <row r="137" spans="9:9">
      <c r="I137" s="26"/>
    </row>
    <row r="138" spans="9:9">
      <c r="I138" s="26"/>
    </row>
    <row r="139" spans="9:9">
      <c r="I139" s="26"/>
    </row>
    <row r="140" spans="9:9">
      <c r="I140" s="26"/>
    </row>
    <row r="141" spans="9:9">
      <c r="I141" s="26"/>
    </row>
    <row r="142" spans="9:9">
      <c r="I142" s="26"/>
    </row>
    <row r="143" spans="9:9">
      <c r="I143" s="26"/>
    </row>
    <row r="144" spans="9:9">
      <c r="I144" s="26"/>
    </row>
    <row r="145" spans="9:9">
      <c r="I145" s="26"/>
    </row>
    <row r="146" spans="9:9">
      <c r="I146" s="26"/>
    </row>
    <row r="147" spans="9:9">
      <c r="I147" s="26"/>
    </row>
    <row r="148" spans="9:9">
      <c r="I148" s="26"/>
    </row>
    <row r="149" spans="9:9">
      <c r="I149" s="26"/>
    </row>
    <row r="150" spans="9:9">
      <c r="I150" s="26"/>
    </row>
    <row r="151" spans="9:9">
      <c r="I151" s="26"/>
    </row>
    <row r="152" spans="9:9">
      <c r="I152" s="26"/>
    </row>
    <row r="153" spans="9:9">
      <c r="I153" s="26"/>
    </row>
    <row r="154" spans="9:9">
      <c r="I154" s="26"/>
    </row>
    <row r="155" spans="9:9">
      <c r="I155" s="26"/>
    </row>
    <row r="156" spans="9:9">
      <c r="I156" s="26"/>
    </row>
    <row r="157" spans="9:9">
      <c r="I157" s="26"/>
    </row>
    <row r="158" spans="9:9">
      <c r="I158" s="26"/>
    </row>
    <row r="159" spans="9:9">
      <c r="I159" s="26"/>
    </row>
    <row r="160" spans="9:9">
      <c r="I160" s="26"/>
    </row>
    <row r="161" spans="9:9">
      <c r="I161" s="26"/>
    </row>
    <row r="162" spans="9:9">
      <c r="I162" s="26"/>
    </row>
    <row r="163" spans="9:9">
      <c r="I163" s="26"/>
    </row>
    <row r="164" spans="9:9">
      <c r="I164" s="26"/>
    </row>
    <row r="165" spans="9:9">
      <c r="I165" s="26"/>
    </row>
    <row r="166" spans="9:9">
      <c r="I166" s="26"/>
    </row>
    <row r="167" spans="9:9">
      <c r="I167" s="26"/>
    </row>
    <row r="168" spans="9:9">
      <c r="I168" s="26"/>
    </row>
    <row r="169" spans="9:9">
      <c r="I169" s="26"/>
    </row>
    <row r="170" spans="9:9">
      <c r="I170" s="26"/>
    </row>
    <row r="171" spans="9:9">
      <c r="I171" s="26"/>
    </row>
    <row r="172" spans="9:9">
      <c r="I172" s="26"/>
    </row>
    <row r="173" spans="9:9">
      <c r="I173" s="26"/>
    </row>
    <row r="174" spans="9:9">
      <c r="I174" s="26"/>
    </row>
    <row r="175" spans="9:9">
      <c r="I175" s="26"/>
    </row>
    <row r="176" spans="9:9">
      <c r="I176" s="26"/>
    </row>
    <row r="177" spans="9:9">
      <c r="I177" s="26"/>
    </row>
    <row r="178" spans="9:9">
      <c r="I178" s="26"/>
    </row>
    <row r="179" spans="9:9">
      <c r="I179" s="26"/>
    </row>
    <row r="180" spans="9:9">
      <c r="I180" s="26"/>
    </row>
    <row r="181" spans="9:9">
      <c r="I181" s="26"/>
    </row>
    <row r="182" spans="9:9">
      <c r="I182" s="26"/>
    </row>
    <row r="183" spans="9:9">
      <c r="I183" s="26"/>
    </row>
    <row r="184" spans="9:9">
      <c r="I184" s="26"/>
    </row>
    <row r="185" spans="9:9">
      <c r="I185" s="26"/>
    </row>
    <row r="186" spans="9:9">
      <c r="I186" s="26"/>
    </row>
    <row r="187" spans="9:9">
      <c r="I187" s="26"/>
    </row>
    <row r="188" spans="9:9">
      <c r="I188" s="26"/>
    </row>
    <row r="189" spans="9:9">
      <c r="I189" s="26"/>
    </row>
    <row r="190" spans="9:9">
      <c r="I190" s="26"/>
    </row>
    <row r="191" spans="9:9">
      <c r="I191" s="26"/>
    </row>
    <row r="192" spans="9:9">
      <c r="I192" s="26"/>
    </row>
    <row r="193" spans="9:9">
      <c r="I193" s="26"/>
    </row>
    <row r="194" spans="9:9">
      <c r="I194" s="26"/>
    </row>
    <row r="195" spans="9:9">
      <c r="I195" s="26"/>
    </row>
    <row r="196" spans="9:9">
      <c r="I196" s="26"/>
    </row>
    <row r="197" spans="9:9">
      <c r="I197" s="26"/>
    </row>
    <row r="198" spans="9:9">
      <c r="I198" s="26"/>
    </row>
    <row r="199" spans="9:9">
      <c r="I199" s="26"/>
    </row>
    <row r="200" spans="9:9">
      <c r="I200" s="26"/>
    </row>
    <row r="201" spans="9:9">
      <c r="I201" s="26"/>
    </row>
    <row r="202" spans="9:9">
      <c r="I202" s="26"/>
    </row>
    <row r="203" spans="9:9">
      <c r="I203" s="26"/>
    </row>
    <row r="204" spans="9:9">
      <c r="I204" s="26"/>
    </row>
    <row r="205" spans="9:9">
      <c r="I205" s="26"/>
    </row>
    <row r="206" spans="9:9">
      <c r="I206" s="26"/>
    </row>
    <row r="207" spans="9:9">
      <c r="I207" s="26"/>
    </row>
    <row r="208" spans="9:9">
      <c r="I208" s="26"/>
    </row>
    <row r="209" spans="9:9">
      <c r="I209" s="26"/>
    </row>
    <row r="210" spans="9:9">
      <c r="I210" s="26"/>
    </row>
    <row r="211" spans="9:9">
      <c r="I211" s="26"/>
    </row>
    <row r="212" spans="9:9">
      <c r="I212" s="26"/>
    </row>
    <row r="213" spans="9:9">
      <c r="I213" s="26"/>
    </row>
    <row r="214" spans="9:9">
      <c r="I214" s="26"/>
    </row>
    <row r="215" spans="9:9">
      <c r="I215" s="26"/>
    </row>
    <row r="216" spans="9:9">
      <c r="I216" s="26"/>
    </row>
    <row r="217" spans="9:9">
      <c r="I217" s="26"/>
    </row>
    <row r="218" spans="9:9">
      <c r="I218" s="26"/>
    </row>
    <row r="219" spans="9:9">
      <c r="I219" s="26"/>
    </row>
    <row r="220" spans="9:9">
      <c r="I220" s="26"/>
    </row>
    <row r="221" spans="9:9">
      <c r="I221" s="26"/>
    </row>
    <row r="222" spans="9:9">
      <c r="I222" s="26"/>
    </row>
    <row r="223" spans="9:9">
      <c r="I223" s="26"/>
    </row>
    <row r="224" spans="9:9">
      <c r="I224" s="26"/>
    </row>
    <row r="225" spans="9:9">
      <c r="I225" s="26"/>
    </row>
    <row r="226" spans="9:9">
      <c r="I226" s="26"/>
    </row>
    <row r="227" spans="9:9">
      <c r="I227" s="26"/>
    </row>
    <row r="228" spans="9:9">
      <c r="I228" s="26"/>
    </row>
    <row r="229" spans="9:9">
      <c r="I229" s="26"/>
    </row>
    <row r="230" spans="9:9">
      <c r="I230" s="26"/>
    </row>
    <row r="231" spans="9:9">
      <c r="I231" s="26"/>
    </row>
    <row r="232" spans="9:9">
      <c r="I232" s="26"/>
    </row>
    <row r="233" spans="9:9">
      <c r="I233" s="26"/>
    </row>
    <row r="234" spans="9:9">
      <c r="I234" s="26"/>
    </row>
    <row r="235" spans="9:9">
      <c r="I235" s="26"/>
    </row>
    <row r="236" spans="9:9">
      <c r="I236" s="26"/>
    </row>
    <row r="237" spans="9:9">
      <c r="I237" s="26"/>
    </row>
    <row r="238" spans="9:9">
      <c r="I238" s="26"/>
    </row>
    <row r="239" spans="9:9">
      <c r="I239" s="26"/>
    </row>
    <row r="240" spans="9:9">
      <c r="I240" s="26"/>
    </row>
    <row r="241" spans="9:9">
      <c r="I241" s="26"/>
    </row>
    <row r="242" spans="9:9">
      <c r="I242" s="26"/>
    </row>
    <row r="243" spans="9:9">
      <c r="I243" s="26"/>
    </row>
    <row r="244" spans="9:9">
      <c r="I244" s="26"/>
    </row>
    <row r="245" spans="9:9">
      <c r="I245" s="26"/>
    </row>
    <row r="246" spans="9:9">
      <c r="I246" s="26"/>
    </row>
    <row r="247" spans="9:9">
      <c r="I247" s="26"/>
    </row>
    <row r="248" spans="9:9">
      <c r="I248" s="26"/>
    </row>
    <row r="249" spans="9:9">
      <c r="I249" s="26"/>
    </row>
    <row r="250" spans="9:9">
      <c r="I250" s="26"/>
    </row>
    <row r="251" spans="9:9">
      <c r="I251" s="26"/>
    </row>
    <row r="252" spans="9:9">
      <c r="I252" s="26"/>
    </row>
    <row r="253" spans="9:9">
      <c r="I253" s="26"/>
    </row>
    <row r="254" spans="9:9">
      <c r="I254" s="26"/>
    </row>
    <row r="255" spans="9:9">
      <c r="I255" s="26"/>
    </row>
    <row r="256" spans="9:9">
      <c r="I256" s="26"/>
    </row>
    <row r="257" spans="9:9">
      <c r="I257" s="52"/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 compounds</vt:lpstr>
      <vt:lpstr>68 PROTACs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Le Manach, Claire</cp:lastModifiedBy>
  <cp:revision/>
  <dcterms:created xsi:type="dcterms:W3CDTF">2025-06-13T09:34:24Z</dcterms:created>
  <dcterms:modified xsi:type="dcterms:W3CDTF">2026-03-21T12:56:25Z</dcterms:modified>
  <cp:category/>
  <cp:contentStatus/>
</cp:coreProperties>
</file>